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7dd10811742b59/Documents/University/Year 2/Repositories/DAT550 - Portfolio/IOT550.py/Temperature/temperature-anomaly/"/>
    </mc:Choice>
  </mc:AlternateContent>
  <xr:revisionPtr revIDLastSave="103" documentId="8_{0ABD57F2-28A1-42CB-8249-A43B466EF68C}" xr6:coauthVersionLast="47" xr6:coauthVersionMax="47" xr10:uidLastSave="{7909E18C-A987-49FF-B6A1-D3556C13358C}"/>
  <bookViews>
    <workbookView xWindow="-108" yWindow="-108" windowWidth="23256" windowHeight="12456" xr2:uid="{292D1AEB-0924-4CE5-B162-079C0B832DEB}"/>
  </bookViews>
  <sheets>
    <sheet name="all_poly_f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7" i="1" l="1"/>
  <c r="M457" i="1"/>
  <c r="K2" i="1"/>
  <c r="J26" i="1"/>
  <c r="J2" i="1"/>
  <c r="H2" i="1"/>
  <c r="J247" i="1"/>
  <c r="J207" i="1"/>
  <c r="J196" i="1"/>
  <c r="J177" i="1"/>
  <c r="J169" i="1"/>
  <c r="J162" i="1"/>
  <c r="J154" i="1"/>
  <c r="J136" i="1"/>
  <c r="J128" i="1"/>
  <c r="J112" i="1"/>
  <c r="J89" i="1"/>
  <c r="J81" i="1"/>
  <c r="J48" i="1"/>
  <c r="J39" i="1"/>
  <c r="J24" i="1"/>
  <c r="J114" i="1"/>
  <c r="J94" i="1"/>
  <c r="J116" i="1"/>
  <c r="J118" i="1"/>
  <c r="J156" i="1"/>
  <c r="J158" i="1"/>
  <c r="J174" i="1"/>
  <c r="J193" i="1"/>
  <c r="J202" i="1"/>
  <c r="J214" i="1"/>
  <c r="J222" i="1"/>
  <c r="J225" i="1"/>
  <c r="J240" i="1"/>
  <c r="J242" i="1"/>
  <c r="J248" i="1"/>
  <c r="J262" i="1"/>
  <c r="J265" i="1"/>
  <c r="J278" i="1"/>
  <c r="J282" i="1"/>
  <c r="J289" i="1"/>
  <c r="J291" i="1"/>
  <c r="J294" i="1"/>
  <c r="J305" i="1"/>
  <c r="J314" i="1"/>
  <c r="J316" i="1"/>
  <c r="J321" i="1"/>
  <c r="J330" i="1"/>
  <c r="J332" i="1"/>
  <c r="J342" i="1"/>
  <c r="J346" i="1"/>
  <c r="J353" i="1"/>
  <c r="J355" i="1"/>
  <c r="J358" i="1"/>
  <c r="J369" i="1"/>
  <c r="J378" i="1"/>
  <c r="J380" i="1"/>
  <c r="J385" i="1"/>
  <c r="J394" i="1"/>
  <c r="J396" i="1"/>
  <c r="J406" i="1"/>
  <c r="J410" i="1"/>
  <c r="J417" i="1"/>
  <c r="J419" i="1"/>
  <c r="J422" i="1"/>
  <c r="J433" i="1"/>
  <c r="J442" i="1"/>
  <c r="J444" i="1"/>
  <c r="J449" i="1"/>
  <c r="J458" i="1"/>
  <c r="J470" i="1"/>
  <c r="J474" i="1"/>
  <c r="J481" i="1"/>
  <c r="J483" i="1"/>
  <c r="J486" i="1"/>
  <c r="J497" i="1"/>
  <c r="J506" i="1"/>
  <c r="J508" i="1"/>
  <c r="J513" i="1"/>
  <c r="J522" i="1"/>
  <c r="J534" i="1"/>
  <c r="J538" i="1"/>
  <c r="J545" i="1"/>
  <c r="J547" i="1"/>
  <c r="J550" i="1"/>
  <c r="J561" i="1"/>
  <c r="J570" i="1"/>
  <c r="J572" i="1"/>
  <c r="J577" i="1"/>
  <c r="J586" i="1"/>
  <c r="J598" i="1"/>
  <c r="J602" i="1"/>
  <c r="J609" i="1"/>
  <c r="J611" i="1"/>
  <c r="J614" i="1"/>
  <c r="J625" i="1"/>
  <c r="J634" i="1"/>
  <c r="J636" i="1"/>
  <c r="J641" i="1"/>
  <c r="J650" i="1"/>
  <c r="J662" i="1"/>
  <c r="J666" i="1"/>
  <c r="J673" i="1"/>
  <c r="J675" i="1"/>
  <c r="J678" i="1"/>
  <c r="J689" i="1"/>
  <c r="J698" i="1"/>
  <c r="J700" i="1"/>
  <c r="J705" i="1"/>
  <c r="J714" i="1"/>
  <c r="J726" i="1"/>
  <c r="J730" i="1"/>
  <c r="J745" i="1"/>
  <c r="J753" i="1"/>
  <c r="J761" i="1"/>
  <c r="J769" i="1"/>
  <c r="J777" i="1"/>
  <c r="J785" i="1"/>
  <c r="J793" i="1"/>
  <c r="J801" i="1"/>
  <c r="J809" i="1"/>
  <c r="J817" i="1"/>
  <c r="J5" i="1"/>
  <c r="J10" i="1"/>
  <c r="J12" i="1"/>
  <c r="J30" i="1"/>
  <c r="J34" i="1"/>
  <c r="J35" i="1"/>
  <c r="J36" i="1"/>
  <c r="J42" i="1"/>
  <c r="J44" i="1"/>
  <c r="J46" i="1"/>
  <c r="J50" i="1"/>
  <c r="J51" i="1"/>
  <c r="J58" i="1"/>
  <c r="J60" i="1"/>
  <c r="J62" i="1"/>
  <c r="J66" i="1"/>
  <c r="J74" i="1"/>
  <c r="J76" i="1"/>
  <c r="J90" i="1"/>
  <c r="H8" i="1"/>
  <c r="J8" i="1" s="1"/>
  <c r="H3" i="1"/>
  <c r="J3" i="1" s="1"/>
  <c r="H4" i="1"/>
  <c r="J4" i="1" s="1"/>
  <c r="H5" i="1"/>
  <c r="H6" i="1"/>
  <c r="J6" i="1" s="1"/>
  <c r="H7" i="1"/>
  <c r="J7" i="1" s="1"/>
  <c r="H9" i="1"/>
  <c r="J9" i="1" s="1"/>
  <c r="H10" i="1"/>
  <c r="H11" i="1"/>
  <c r="J11" i="1" s="1"/>
  <c r="H12" i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H25" i="1"/>
  <c r="J25" i="1" s="1"/>
  <c r="H26" i="1"/>
  <c r="H27" i="1"/>
  <c r="J27" i="1" s="1"/>
  <c r="H28" i="1"/>
  <c r="J28" i="1" s="1"/>
  <c r="H29" i="1"/>
  <c r="J29" i="1" s="1"/>
  <c r="H30" i="1"/>
  <c r="H31" i="1"/>
  <c r="J31" i="1" s="1"/>
  <c r="H32" i="1"/>
  <c r="J32" i="1" s="1"/>
  <c r="H33" i="1"/>
  <c r="J33" i="1" s="1"/>
  <c r="H34" i="1"/>
  <c r="H35" i="1"/>
  <c r="H36" i="1"/>
  <c r="H37" i="1"/>
  <c r="J37" i="1" s="1"/>
  <c r="H38" i="1"/>
  <c r="J38" i="1" s="1"/>
  <c r="H39" i="1"/>
  <c r="H40" i="1"/>
  <c r="J40" i="1" s="1"/>
  <c r="H41" i="1"/>
  <c r="J41" i="1" s="1"/>
  <c r="H42" i="1"/>
  <c r="H43" i="1"/>
  <c r="J43" i="1" s="1"/>
  <c r="H44" i="1"/>
  <c r="H45" i="1"/>
  <c r="J45" i="1" s="1"/>
  <c r="H46" i="1"/>
  <c r="H47" i="1"/>
  <c r="J47" i="1" s="1"/>
  <c r="H48" i="1"/>
  <c r="H49" i="1"/>
  <c r="J49" i="1" s="1"/>
  <c r="H50" i="1"/>
  <c r="H51" i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H59" i="1"/>
  <c r="J59" i="1" s="1"/>
  <c r="H60" i="1"/>
  <c r="H61" i="1"/>
  <c r="J61" i="1" s="1"/>
  <c r="H62" i="1"/>
  <c r="H63" i="1"/>
  <c r="J63" i="1" s="1"/>
  <c r="H64" i="1"/>
  <c r="J64" i="1" s="1"/>
  <c r="H65" i="1"/>
  <c r="J65" i="1" s="1"/>
  <c r="H66" i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H75" i="1"/>
  <c r="J75" i="1" s="1"/>
  <c r="H76" i="1"/>
  <c r="H77" i="1"/>
  <c r="J77" i="1" s="1"/>
  <c r="H78" i="1"/>
  <c r="J78" i="1" s="1"/>
  <c r="H79" i="1"/>
  <c r="J79" i="1" s="1"/>
  <c r="H80" i="1"/>
  <c r="J80" i="1" s="1"/>
  <c r="H81" i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H90" i="1"/>
  <c r="H91" i="1"/>
  <c r="J91" i="1" s="1"/>
  <c r="H92" i="1"/>
  <c r="J92" i="1" s="1"/>
  <c r="H93" i="1"/>
  <c r="J93" i="1" s="1"/>
  <c r="H94" i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H113" i="1"/>
  <c r="J113" i="1" s="1"/>
  <c r="H114" i="1"/>
  <c r="H115" i="1"/>
  <c r="J115" i="1" s="1"/>
  <c r="H116" i="1"/>
  <c r="H117" i="1"/>
  <c r="J117" i="1" s="1"/>
  <c r="H118" i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H155" i="1"/>
  <c r="J155" i="1" s="1"/>
  <c r="H156" i="1"/>
  <c r="H157" i="1"/>
  <c r="J157" i="1" s="1"/>
  <c r="H158" i="1"/>
  <c r="H159" i="1"/>
  <c r="J159" i="1" s="1"/>
  <c r="H160" i="1"/>
  <c r="J160" i="1" s="1"/>
  <c r="H161" i="1"/>
  <c r="J161" i="1" s="1"/>
  <c r="H162" i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H170" i="1"/>
  <c r="J170" i="1" s="1"/>
  <c r="H171" i="1"/>
  <c r="J171" i="1" s="1"/>
  <c r="H172" i="1"/>
  <c r="J172" i="1" s="1"/>
  <c r="H173" i="1"/>
  <c r="J173" i="1" s="1"/>
  <c r="H174" i="1"/>
  <c r="H175" i="1"/>
  <c r="J175" i="1" s="1"/>
  <c r="H176" i="1"/>
  <c r="J176" i="1" s="1"/>
  <c r="H177" i="1"/>
  <c r="H178" i="1"/>
  <c r="J178" i="1" s="1"/>
  <c r="H179" i="1"/>
  <c r="J179" i="1" s="1"/>
  <c r="H180" i="1"/>
  <c r="J180" i="1" s="1"/>
  <c r="H181" i="1"/>
  <c r="J181" i="1" s="1"/>
  <c r="H182" i="1"/>
  <c r="J182" i="1" s="1"/>
  <c r="H183" i="1"/>
  <c r="J183" i="1" s="1"/>
  <c r="H184" i="1"/>
  <c r="J184" i="1" s="1"/>
  <c r="K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H194" i="1"/>
  <c r="J194" i="1" s="1"/>
  <c r="H195" i="1"/>
  <c r="J195" i="1" s="1"/>
  <c r="H196" i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H203" i="1"/>
  <c r="J203" i="1" s="1"/>
  <c r="H204" i="1"/>
  <c r="J204" i="1" s="1"/>
  <c r="H205" i="1"/>
  <c r="J205" i="1" s="1"/>
  <c r="H206" i="1"/>
  <c r="J206" i="1" s="1"/>
  <c r="H207" i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J220" i="1" s="1"/>
  <c r="H221" i="1"/>
  <c r="J221" i="1" s="1"/>
  <c r="H222" i="1"/>
  <c r="H223" i="1"/>
  <c r="J223" i="1" s="1"/>
  <c r="H224" i="1"/>
  <c r="J224" i="1" s="1"/>
  <c r="H225" i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H241" i="1"/>
  <c r="J241" i="1" s="1"/>
  <c r="H242" i="1"/>
  <c r="H243" i="1"/>
  <c r="J243" i="1" s="1"/>
  <c r="H244" i="1"/>
  <c r="J244" i="1" s="1"/>
  <c r="H245" i="1"/>
  <c r="J245" i="1" s="1"/>
  <c r="H246" i="1"/>
  <c r="J246" i="1" s="1"/>
  <c r="H247" i="1"/>
  <c r="H248" i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H263" i="1"/>
  <c r="J263" i="1" s="1"/>
  <c r="H264" i="1"/>
  <c r="J264" i="1" s="1"/>
  <c r="H265" i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H279" i="1"/>
  <c r="J279" i="1" s="1"/>
  <c r="H280" i="1"/>
  <c r="J280" i="1" s="1"/>
  <c r="H281" i="1"/>
  <c r="J281" i="1" s="1"/>
  <c r="H282" i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H290" i="1"/>
  <c r="J290" i="1" s="1"/>
  <c r="H291" i="1"/>
  <c r="H292" i="1"/>
  <c r="J292" i="1" s="1"/>
  <c r="H293" i="1"/>
  <c r="J293" i="1" s="1"/>
  <c r="H294" i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H315" i="1"/>
  <c r="J315" i="1" s="1"/>
  <c r="H316" i="1"/>
  <c r="H317" i="1"/>
  <c r="J317" i="1" s="1"/>
  <c r="H318" i="1"/>
  <c r="J318" i="1" s="1"/>
  <c r="H319" i="1"/>
  <c r="J319" i="1" s="1"/>
  <c r="H320" i="1"/>
  <c r="J320" i="1" s="1"/>
  <c r="H321" i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H331" i="1"/>
  <c r="J331" i="1" s="1"/>
  <c r="H332" i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H343" i="1"/>
  <c r="J343" i="1" s="1"/>
  <c r="H344" i="1"/>
  <c r="J344" i="1" s="1"/>
  <c r="H345" i="1"/>
  <c r="J345" i="1" s="1"/>
  <c r="H346" i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H354" i="1"/>
  <c r="J354" i="1" s="1"/>
  <c r="H355" i="1"/>
  <c r="H356" i="1"/>
  <c r="J356" i="1" s="1"/>
  <c r="H357" i="1"/>
  <c r="J357" i="1" s="1"/>
  <c r="H358" i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K366" i="1" s="1"/>
  <c r="H367" i="1"/>
  <c r="J367" i="1" s="1"/>
  <c r="H368" i="1"/>
  <c r="J368" i="1" s="1"/>
  <c r="H369" i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H379" i="1"/>
  <c r="J379" i="1" s="1"/>
  <c r="H380" i="1"/>
  <c r="H381" i="1"/>
  <c r="J381" i="1" s="1"/>
  <c r="H382" i="1"/>
  <c r="J382" i="1" s="1"/>
  <c r="H383" i="1"/>
  <c r="J383" i="1" s="1"/>
  <c r="H384" i="1"/>
  <c r="J384" i="1" s="1"/>
  <c r="H385" i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H395" i="1"/>
  <c r="J395" i="1" s="1"/>
  <c r="H396" i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H407" i="1"/>
  <c r="J407" i="1" s="1"/>
  <c r="H408" i="1"/>
  <c r="J408" i="1" s="1"/>
  <c r="H409" i="1"/>
  <c r="J409" i="1" s="1"/>
  <c r="H410" i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H418" i="1"/>
  <c r="J418" i="1" s="1"/>
  <c r="H419" i="1"/>
  <c r="H420" i="1"/>
  <c r="J420" i="1" s="1"/>
  <c r="H421" i="1"/>
  <c r="J421" i="1" s="1"/>
  <c r="H422" i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H443" i="1"/>
  <c r="J443" i="1" s="1"/>
  <c r="H444" i="1"/>
  <c r="H445" i="1"/>
  <c r="J445" i="1" s="1"/>
  <c r="H446" i="1"/>
  <c r="J446" i="1" s="1"/>
  <c r="H447" i="1"/>
  <c r="J447" i="1" s="1"/>
  <c r="H448" i="1"/>
  <c r="J448" i="1" s="1"/>
  <c r="H449" i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H471" i="1"/>
  <c r="J471" i="1" s="1"/>
  <c r="H472" i="1"/>
  <c r="J472" i="1" s="1"/>
  <c r="H473" i="1"/>
  <c r="J473" i="1" s="1"/>
  <c r="H474" i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H482" i="1"/>
  <c r="J482" i="1" s="1"/>
  <c r="H483" i="1"/>
  <c r="H484" i="1"/>
  <c r="J484" i="1" s="1"/>
  <c r="H485" i="1"/>
  <c r="J485" i="1" s="1"/>
  <c r="H486" i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J505" i="1" s="1"/>
  <c r="H506" i="1"/>
  <c r="H507" i="1"/>
  <c r="J507" i="1" s="1"/>
  <c r="H508" i="1"/>
  <c r="H509" i="1"/>
  <c r="J509" i="1" s="1"/>
  <c r="H510" i="1"/>
  <c r="J510" i="1" s="1"/>
  <c r="H511" i="1"/>
  <c r="J511" i="1" s="1"/>
  <c r="H512" i="1"/>
  <c r="J512" i="1" s="1"/>
  <c r="H513" i="1"/>
  <c r="H514" i="1"/>
  <c r="J514" i="1" s="1"/>
  <c r="H515" i="1"/>
  <c r="J515" i="1" s="1"/>
  <c r="H516" i="1"/>
  <c r="J516" i="1" s="1"/>
  <c r="H517" i="1"/>
  <c r="J517" i="1" s="1"/>
  <c r="H518" i="1"/>
  <c r="J518" i="1" s="1"/>
  <c r="H519" i="1"/>
  <c r="J519" i="1" s="1"/>
  <c r="H520" i="1"/>
  <c r="J520" i="1" s="1"/>
  <c r="H521" i="1"/>
  <c r="J521" i="1" s="1"/>
  <c r="H522" i="1"/>
  <c r="H523" i="1"/>
  <c r="J523" i="1" s="1"/>
  <c r="H524" i="1"/>
  <c r="J524" i="1" s="1"/>
  <c r="H525" i="1"/>
  <c r="J525" i="1" s="1"/>
  <c r="H526" i="1"/>
  <c r="J526" i="1" s="1"/>
  <c r="H527" i="1"/>
  <c r="J527" i="1" s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H535" i="1"/>
  <c r="J535" i="1" s="1"/>
  <c r="H536" i="1"/>
  <c r="J536" i="1" s="1"/>
  <c r="H537" i="1"/>
  <c r="J537" i="1" s="1"/>
  <c r="H538" i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H546" i="1"/>
  <c r="J546" i="1" s="1"/>
  <c r="H547" i="1"/>
  <c r="H548" i="1"/>
  <c r="J548" i="1" s="1"/>
  <c r="H549" i="1"/>
  <c r="J549" i="1" s="1"/>
  <c r="H550" i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H571" i="1"/>
  <c r="J571" i="1" s="1"/>
  <c r="H572" i="1"/>
  <c r="H573" i="1"/>
  <c r="J573" i="1" s="1"/>
  <c r="H574" i="1"/>
  <c r="J574" i="1" s="1"/>
  <c r="H575" i="1"/>
  <c r="J575" i="1" s="1"/>
  <c r="H576" i="1"/>
  <c r="J576" i="1" s="1"/>
  <c r="H577" i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H599" i="1"/>
  <c r="J599" i="1" s="1"/>
  <c r="H600" i="1"/>
  <c r="J600" i="1" s="1"/>
  <c r="H601" i="1"/>
  <c r="J601" i="1" s="1"/>
  <c r="H602" i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H610" i="1"/>
  <c r="J610" i="1" s="1"/>
  <c r="H611" i="1"/>
  <c r="H612" i="1"/>
  <c r="J612" i="1" s="1"/>
  <c r="H613" i="1"/>
  <c r="J613" i="1" s="1"/>
  <c r="H614" i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H635" i="1"/>
  <c r="J635" i="1" s="1"/>
  <c r="H636" i="1"/>
  <c r="H637" i="1"/>
  <c r="J637" i="1" s="1"/>
  <c r="H638" i="1"/>
  <c r="J638" i="1" s="1"/>
  <c r="H639" i="1"/>
  <c r="J639" i="1" s="1"/>
  <c r="H640" i="1"/>
  <c r="J640" i="1" s="1"/>
  <c r="H641" i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H651" i="1"/>
  <c r="J651" i="1" s="1"/>
  <c r="H652" i="1"/>
  <c r="J652" i="1" s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J661" i="1" s="1"/>
  <c r="H662" i="1"/>
  <c r="H663" i="1"/>
  <c r="J663" i="1" s="1"/>
  <c r="H664" i="1"/>
  <c r="J664" i="1" s="1"/>
  <c r="H665" i="1"/>
  <c r="J665" i="1" s="1"/>
  <c r="H666" i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H674" i="1"/>
  <c r="J674" i="1" s="1"/>
  <c r="H675" i="1"/>
  <c r="H676" i="1"/>
  <c r="J676" i="1" s="1"/>
  <c r="H677" i="1"/>
  <c r="J677" i="1" s="1"/>
  <c r="H678" i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H699" i="1"/>
  <c r="J699" i="1" s="1"/>
  <c r="H700" i="1"/>
  <c r="H701" i="1"/>
  <c r="J701" i="1" s="1"/>
  <c r="H702" i="1"/>
  <c r="J702" i="1" s="1"/>
  <c r="H703" i="1"/>
  <c r="J703" i="1" s="1"/>
  <c r="H704" i="1"/>
  <c r="J704" i="1" s="1"/>
  <c r="H705" i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H727" i="1"/>
  <c r="J727" i="1" s="1"/>
  <c r="H728" i="1"/>
  <c r="J728" i="1" s="1"/>
  <c r="H729" i="1"/>
  <c r="J729" i="1" s="1"/>
  <c r="H730" i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H818" i="1"/>
  <c r="J818" i="1" s="1"/>
  <c r="H819" i="1"/>
  <c r="J819" i="1" s="1"/>
  <c r="H820" i="1"/>
  <c r="J820" i="1" s="1"/>
  <c r="K93" i="1" l="1"/>
  <c r="K548" i="1"/>
  <c r="K275" i="1"/>
  <c r="K457" i="1"/>
  <c r="K639" i="1"/>
  <c r="K730" i="1"/>
</calcChain>
</file>

<file path=xl/sharedStrings.xml><?xml version="1.0" encoding="utf-8"?>
<sst xmlns="http://schemas.openxmlformats.org/spreadsheetml/2006/main" count="10" uniqueCount="10">
  <si>
    <t>Degree</t>
  </si>
  <si>
    <t>Year</t>
  </si>
  <si>
    <t>Actual</t>
  </si>
  <si>
    <t>Predicted</t>
  </si>
  <si>
    <t>Numerator</t>
  </si>
  <si>
    <t>uncertainty</t>
  </si>
  <si>
    <t>NO SUM</t>
  </si>
  <si>
    <t>SUM</t>
  </si>
  <si>
    <t xml:space="preserve"> = BIC</t>
  </si>
  <si>
    <t xml:space="preserve"> = p/DoF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</si>
</sst>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BB73-DB7D-4972-A575-1190B476071B}">
  <dimension ref="A1:P820"/>
  <sheetViews>
    <sheetView tabSelected="1" topLeftCell="A445" zoomScale="83" workbookViewId="0">
      <selection activeCell="N458" sqref="N458"/>
    </sheetView>
  </sheetViews>
  <sheetFormatPr defaultRowHeight="14.4" x14ac:dyDescent="0.3"/>
  <cols>
    <col min="1" max="4" width="9" bestFit="1" customWidth="1"/>
    <col min="7" max="7" width="10.109375" bestFit="1" customWidth="1"/>
    <col min="8" max="8" width="9.6640625" customWidth="1"/>
    <col min="10" max="10" width="12" bestFit="1" customWidth="1"/>
    <col min="11" max="11" width="9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G1" t="s">
        <v>5</v>
      </c>
      <c r="H1" t="s">
        <v>4</v>
      </c>
      <c r="J1" t="s">
        <v>6</v>
      </c>
      <c r="K1" t="s">
        <v>7</v>
      </c>
    </row>
    <row r="2" spans="1:11" x14ac:dyDescent="0.3">
      <c r="A2">
        <v>1</v>
      </c>
      <c r="B2">
        <v>1925</v>
      </c>
      <c r="C2">
        <v>8.0155770000000001E-2</v>
      </c>
      <c r="D2">
        <v>4.23547634613008E-2</v>
      </c>
      <c r="G2">
        <v>0.22561889600000001</v>
      </c>
      <c r="H2">
        <f>(C2-D2)^2</f>
        <v>1.4289160953387797E-3</v>
      </c>
      <c r="J2">
        <f>H2/(G2^2)</f>
        <v>2.8070864546943901E-2</v>
      </c>
      <c r="K2">
        <f>SUM(J2:J92)</f>
        <v>281.1109592690616</v>
      </c>
    </row>
    <row r="3" spans="1:11" x14ac:dyDescent="0.3">
      <c r="A3">
        <v>1</v>
      </c>
      <c r="B3">
        <v>1926</v>
      </c>
      <c r="C3">
        <v>0.23974274000000001</v>
      </c>
      <c r="D3">
        <v>5.1524797852270099E-2</v>
      </c>
      <c r="G3">
        <v>0.21658418000000002</v>
      </c>
      <c r="H3">
        <f t="shared" ref="H2:H65" si="0">(C3-D3)^2</f>
        <v>3.5425993746326205E-2</v>
      </c>
      <c r="J3">
        <f t="shared" ref="J3:J66" si="1">H3/(G3^2)</f>
        <v>0.75521147335152472</v>
      </c>
    </row>
    <row r="4" spans="1:11" x14ac:dyDescent="0.3">
      <c r="A4">
        <v>1</v>
      </c>
      <c r="B4">
        <v>1927</v>
      </c>
      <c r="C4">
        <v>0.13318415</v>
      </c>
      <c r="D4">
        <v>6.0694832243239398E-2</v>
      </c>
      <c r="G4">
        <v>0.20616828800000001</v>
      </c>
      <c r="H4">
        <f t="shared" si="0"/>
        <v>5.2547011888406069E-3</v>
      </c>
      <c r="J4">
        <f t="shared" si="1"/>
        <v>0.12362442809163623</v>
      </c>
    </row>
    <row r="5" spans="1:11" x14ac:dyDescent="0.3">
      <c r="A5">
        <v>1</v>
      </c>
      <c r="B5">
        <v>1928</v>
      </c>
      <c r="C5">
        <v>0.15583193000000001</v>
      </c>
      <c r="D5">
        <v>6.9864866634208697E-2</v>
      </c>
      <c r="G5">
        <v>0.22194212700000002</v>
      </c>
      <c r="H5">
        <f t="shared" si="0"/>
        <v>7.3903359837379787E-3</v>
      </c>
      <c r="J5">
        <f t="shared" si="1"/>
        <v>0.15003227522865456</v>
      </c>
    </row>
    <row r="6" spans="1:11" x14ac:dyDescent="0.3">
      <c r="A6">
        <v>1</v>
      </c>
      <c r="B6">
        <v>1929</v>
      </c>
      <c r="C6">
        <v>-3.0145284000000001E-2</v>
      </c>
      <c r="D6">
        <v>7.9034901025178003E-2</v>
      </c>
      <c r="G6">
        <v>0.22083399999999997</v>
      </c>
      <c r="H6">
        <f t="shared" si="0"/>
        <v>1.1920312802132104E-2</v>
      </c>
      <c r="J6">
        <f t="shared" si="1"/>
        <v>0.24443071265634222</v>
      </c>
    </row>
    <row r="7" spans="1:11" x14ac:dyDescent="0.3">
      <c r="A7">
        <v>1</v>
      </c>
      <c r="B7">
        <v>1930</v>
      </c>
      <c r="C7">
        <v>0.18549231999999999</v>
      </c>
      <c r="D7">
        <v>8.8204935416147295E-2</v>
      </c>
      <c r="G7">
        <v>0.22721205999999999</v>
      </c>
      <c r="H7">
        <f t="shared" si="0"/>
        <v>9.4648351991664589E-3</v>
      </c>
      <c r="J7">
        <f t="shared" si="1"/>
        <v>0.18333707492307422</v>
      </c>
    </row>
    <row r="8" spans="1:11" x14ac:dyDescent="0.3">
      <c r="A8">
        <v>1</v>
      </c>
      <c r="B8">
        <v>1931</v>
      </c>
      <c r="C8">
        <v>0.25890007999999998</v>
      </c>
      <c r="D8">
        <v>9.7374969807120196E-2</v>
      </c>
      <c r="G8">
        <v>0.21858786000000002</v>
      </c>
      <c r="H8">
        <f t="shared" si="0"/>
        <v>2.6090361222821962E-2</v>
      </c>
      <c r="J8">
        <f t="shared" si="1"/>
        <v>0.5460444727354643</v>
      </c>
    </row>
    <row r="9" spans="1:11" x14ac:dyDescent="0.3">
      <c r="A9">
        <v>1</v>
      </c>
      <c r="B9">
        <v>1932</v>
      </c>
      <c r="C9">
        <v>0.21683604000000001</v>
      </c>
      <c r="D9">
        <v>0.106545004198089</v>
      </c>
      <c r="G9">
        <v>0.21298692999999999</v>
      </c>
      <c r="H9">
        <f t="shared" si="0"/>
        <v>1.2164112578258415E-2</v>
      </c>
      <c r="J9">
        <f t="shared" si="1"/>
        <v>0.26814797619777597</v>
      </c>
    </row>
    <row r="10" spans="1:11" x14ac:dyDescent="0.3">
      <c r="A10">
        <v>1</v>
      </c>
      <c r="B10">
        <v>1933</v>
      </c>
      <c r="C10">
        <v>3.9953324999999998E-2</v>
      </c>
      <c r="D10">
        <v>0.115715038589058</v>
      </c>
      <c r="G10">
        <v>0.20951196</v>
      </c>
      <c r="H10">
        <f t="shared" si="0"/>
        <v>5.7398372459504564E-3</v>
      </c>
      <c r="J10">
        <f t="shared" si="1"/>
        <v>0.13076211566125845</v>
      </c>
    </row>
    <row r="11" spans="1:11" x14ac:dyDescent="0.3">
      <c r="A11">
        <v>1</v>
      </c>
      <c r="B11">
        <v>1934</v>
      </c>
      <c r="C11">
        <v>0.18796089999999999</v>
      </c>
      <c r="D11">
        <v>0.124885072980028</v>
      </c>
      <c r="G11">
        <v>0.19933419999999999</v>
      </c>
      <c r="H11">
        <f t="shared" si="0"/>
        <v>3.9785599542534276E-3</v>
      </c>
      <c r="J11">
        <f t="shared" si="1"/>
        <v>0.10012955175207729</v>
      </c>
    </row>
    <row r="12" spans="1:11" x14ac:dyDescent="0.3">
      <c r="A12">
        <v>1</v>
      </c>
      <c r="B12">
        <v>1935</v>
      </c>
      <c r="C12">
        <v>0.15623851</v>
      </c>
      <c r="D12">
        <v>0.13405510737099699</v>
      </c>
      <c r="G12">
        <v>0.19487621700000002</v>
      </c>
      <c r="H12">
        <f t="shared" si="0"/>
        <v>4.9210335220045752E-4</v>
      </c>
      <c r="J12">
        <f t="shared" si="1"/>
        <v>1.2958019904274247E-2</v>
      </c>
    </row>
    <row r="13" spans="1:11" x14ac:dyDescent="0.3">
      <c r="A13">
        <v>1</v>
      </c>
      <c r="B13">
        <v>1936</v>
      </c>
      <c r="C13">
        <v>0.1927768</v>
      </c>
      <c r="D13">
        <v>0.14322514176196599</v>
      </c>
      <c r="G13">
        <v>0.18799661000000001</v>
      </c>
      <c r="H13">
        <f t="shared" si="0"/>
        <v>2.4553668341389234E-3</v>
      </c>
      <c r="J13">
        <f t="shared" si="1"/>
        <v>6.9473047376234706E-2</v>
      </c>
    </row>
    <row r="14" spans="1:11" x14ac:dyDescent="0.3">
      <c r="A14">
        <v>1</v>
      </c>
      <c r="B14">
        <v>1937</v>
      </c>
      <c r="C14">
        <v>0.34309879999999998</v>
      </c>
      <c r="D14">
        <v>0.15239517615293899</v>
      </c>
      <c r="G14">
        <v>0.20111965000000001</v>
      </c>
      <c r="H14">
        <f t="shared" si="0"/>
        <v>3.6367872148401328E-2</v>
      </c>
      <c r="J14">
        <f t="shared" si="1"/>
        <v>0.8991018318360765</v>
      </c>
    </row>
    <row r="15" spans="1:11" x14ac:dyDescent="0.3">
      <c r="A15">
        <v>1</v>
      </c>
      <c r="B15">
        <v>1938</v>
      </c>
      <c r="C15">
        <v>0.35009699999999999</v>
      </c>
      <c r="D15">
        <v>0.16156521054390799</v>
      </c>
      <c r="G15">
        <v>0.19620601999999998</v>
      </c>
      <c r="H15">
        <f t="shared" si="0"/>
        <v>3.5544235635516203E-2</v>
      </c>
      <c r="J15">
        <f t="shared" si="1"/>
        <v>0.92330358695966563</v>
      </c>
    </row>
    <row r="16" spans="1:11" x14ac:dyDescent="0.3">
      <c r="A16">
        <v>1</v>
      </c>
      <c r="B16">
        <v>1939</v>
      </c>
      <c r="C16">
        <v>0.32150054</v>
      </c>
      <c r="D16">
        <v>0.17073524493487799</v>
      </c>
      <c r="G16">
        <v>0.21181498999999998</v>
      </c>
      <c r="H16">
        <f t="shared" si="0"/>
        <v>2.2730174196073302E-2</v>
      </c>
      <c r="J16">
        <f t="shared" si="1"/>
        <v>0.50662822447666811</v>
      </c>
    </row>
    <row r="17" spans="1:10" x14ac:dyDescent="0.3">
      <c r="A17">
        <v>1</v>
      </c>
      <c r="B17">
        <v>1940</v>
      </c>
      <c r="C17">
        <v>0.43823355000000003</v>
      </c>
      <c r="D17">
        <v>0.17990527932584699</v>
      </c>
      <c r="G17">
        <v>0.23577104999999998</v>
      </c>
      <c r="H17">
        <f t="shared" si="0"/>
        <v>6.6733495429498482E-2</v>
      </c>
      <c r="J17">
        <f t="shared" si="1"/>
        <v>1.2005020834315212</v>
      </c>
    </row>
    <row r="18" spans="1:10" x14ac:dyDescent="0.3">
      <c r="A18">
        <v>1</v>
      </c>
      <c r="B18">
        <v>1941</v>
      </c>
      <c r="C18">
        <v>0.40042704000000001</v>
      </c>
      <c r="D18">
        <v>0.18907531371681599</v>
      </c>
      <c r="G18">
        <v>0.40076646999999999</v>
      </c>
      <c r="H18">
        <f t="shared" si="0"/>
        <v>4.4669552202881942E-2</v>
      </c>
      <c r="J18">
        <f t="shared" si="1"/>
        <v>0.27811783520958472</v>
      </c>
    </row>
    <row r="19" spans="1:10" x14ac:dyDescent="0.3">
      <c r="A19">
        <v>1</v>
      </c>
      <c r="B19">
        <v>1942</v>
      </c>
      <c r="C19">
        <v>0.36370382000000001</v>
      </c>
      <c r="D19">
        <v>0.19824534810778599</v>
      </c>
      <c r="G19">
        <v>0.39323698000000007</v>
      </c>
      <c r="H19">
        <f t="shared" si="0"/>
        <v>2.7376505920906576E-2</v>
      </c>
      <c r="J19">
        <f t="shared" si="1"/>
        <v>0.17703914919965211</v>
      </c>
    </row>
    <row r="20" spans="1:10" x14ac:dyDescent="0.3">
      <c r="A20">
        <v>1</v>
      </c>
      <c r="B20">
        <v>1943</v>
      </c>
      <c r="C20">
        <v>0.36871934000000001</v>
      </c>
      <c r="D20">
        <v>0.20741538249875899</v>
      </c>
      <c r="G20">
        <v>0.41200937000000004</v>
      </c>
      <c r="H20">
        <f t="shared" si="0"/>
        <v>2.6018966705562169E-2</v>
      </c>
      <c r="J20">
        <f t="shared" si="1"/>
        <v>0.15327660042102398</v>
      </c>
    </row>
    <row r="21" spans="1:10" x14ac:dyDescent="0.3">
      <c r="A21">
        <v>1</v>
      </c>
      <c r="B21">
        <v>1944</v>
      </c>
      <c r="C21">
        <v>0.50640289999999999</v>
      </c>
      <c r="D21">
        <v>0.21658541688972799</v>
      </c>
      <c r="G21">
        <v>0.39719992000000004</v>
      </c>
      <c r="H21">
        <f t="shared" si="0"/>
        <v>8.3994173516372797E-2</v>
      </c>
      <c r="J21">
        <f t="shared" si="1"/>
        <v>0.53239118537018693</v>
      </c>
    </row>
    <row r="22" spans="1:10" x14ac:dyDescent="0.3">
      <c r="A22">
        <v>1</v>
      </c>
      <c r="B22">
        <v>1945</v>
      </c>
      <c r="C22">
        <v>0.40538610000000003</v>
      </c>
      <c r="D22">
        <v>0.22575545128069699</v>
      </c>
      <c r="G22">
        <v>0.40074251999999999</v>
      </c>
      <c r="H22">
        <f t="shared" si="0"/>
        <v>3.2267169959317644E-2</v>
      </c>
      <c r="J22">
        <f t="shared" si="1"/>
        <v>0.20092317252436956</v>
      </c>
    </row>
    <row r="23" spans="1:10" x14ac:dyDescent="0.3">
      <c r="A23">
        <v>1</v>
      </c>
      <c r="B23">
        <v>1946</v>
      </c>
      <c r="C23">
        <v>0.24348313999999999</v>
      </c>
      <c r="D23">
        <v>0.23492548567166599</v>
      </c>
      <c r="G23">
        <v>0.29427287000000002</v>
      </c>
      <c r="H23">
        <f t="shared" si="0"/>
        <v>7.3233447603253583E-5</v>
      </c>
      <c r="J23">
        <f t="shared" si="1"/>
        <v>8.4568578387016538E-4</v>
      </c>
    </row>
    <row r="24" spans="1:10" x14ac:dyDescent="0.3">
      <c r="A24">
        <v>1</v>
      </c>
      <c r="B24">
        <v>1947</v>
      </c>
      <c r="C24">
        <v>0.27109214999999998</v>
      </c>
      <c r="D24">
        <v>0.24409552006263599</v>
      </c>
      <c r="G24">
        <v>0.28116972000000001</v>
      </c>
      <c r="H24">
        <f t="shared" si="0"/>
        <v>7.2881802797497748E-4</v>
      </c>
      <c r="J24">
        <f t="shared" si="1"/>
        <v>9.2189616838748278E-3</v>
      </c>
    </row>
    <row r="25" spans="1:10" x14ac:dyDescent="0.3">
      <c r="A25">
        <v>1</v>
      </c>
      <c r="B25">
        <v>1948</v>
      </c>
      <c r="C25">
        <v>0.23763648000000001</v>
      </c>
      <c r="D25">
        <v>0.25326555445360499</v>
      </c>
      <c r="G25">
        <v>0.26894422000000001</v>
      </c>
      <c r="H25">
        <f t="shared" si="0"/>
        <v>2.4426796827632782E-4</v>
      </c>
      <c r="J25">
        <f t="shared" si="1"/>
        <v>3.3770857630053717E-3</v>
      </c>
    </row>
    <row r="26" spans="1:10" x14ac:dyDescent="0.3">
      <c r="A26">
        <v>1</v>
      </c>
      <c r="B26">
        <v>1949</v>
      </c>
      <c r="C26">
        <v>0.21849552</v>
      </c>
      <c r="D26">
        <v>0.26243558884457802</v>
      </c>
      <c r="G26">
        <v>0.22055050999999998</v>
      </c>
      <c r="H26">
        <f t="shared" si="0"/>
        <v>1.9307296500662558E-3</v>
      </c>
      <c r="J26">
        <f>H26/(G26^2)</f>
        <v>3.9692214834106399E-2</v>
      </c>
    </row>
    <row r="27" spans="1:10" x14ac:dyDescent="0.3">
      <c r="A27">
        <v>1</v>
      </c>
      <c r="B27">
        <v>1950</v>
      </c>
      <c r="C27">
        <v>0.13567593999999999</v>
      </c>
      <c r="D27">
        <v>0.27160562323554699</v>
      </c>
      <c r="G27">
        <v>0.21207035199999999</v>
      </c>
      <c r="H27">
        <f t="shared" si="0"/>
        <v>1.8476878784516145E-2</v>
      </c>
      <c r="J27">
        <f t="shared" si="1"/>
        <v>0.4108361920714938</v>
      </c>
    </row>
    <row r="28" spans="1:10" x14ac:dyDescent="0.3">
      <c r="A28">
        <v>1</v>
      </c>
      <c r="B28">
        <v>1951</v>
      </c>
      <c r="C28">
        <v>0.30114380000000002</v>
      </c>
      <c r="D28">
        <v>0.28077565762651702</v>
      </c>
      <c r="G28">
        <v>0.17839253999999999</v>
      </c>
      <c r="H28">
        <f t="shared" si="0"/>
        <v>4.148612237464737E-4</v>
      </c>
      <c r="J28">
        <f t="shared" si="1"/>
        <v>1.3036153505618864E-2</v>
      </c>
    </row>
    <row r="29" spans="1:10" x14ac:dyDescent="0.3">
      <c r="A29">
        <v>1</v>
      </c>
      <c r="B29">
        <v>1952</v>
      </c>
      <c r="C29">
        <v>0.3776523</v>
      </c>
      <c r="D29">
        <v>0.28994569201748599</v>
      </c>
      <c r="G29">
        <v>0.19658106999999997</v>
      </c>
      <c r="H29">
        <f t="shared" si="0"/>
        <v>7.6924490837983897E-3</v>
      </c>
      <c r="J29">
        <f t="shared" si="1"/>
        <v>0.19905873557434164</v>
      </c>
    </row>
    <row r="30" spans="1:10" x14ac:dyDescent="0.3">
      <c r="A30">
        <v>1</v>
      </c>
      <c r="B30">
        <v>1953</v>
      </c>
      <c r="C30">
        <v>0.4399285</v>
      </c>
      <c r="D30">
        <v>0.29911572640845502</v>
      </c>
      <c r="G30">
        <v>0.19632071000000001</v>
      </c>
      <c r="H30">
        <f t="shared" si="0"/>
        <v>1.9828237206543708E-2</v>
      </c>
      <c r="J30">
        <f t="shared" si="1"/>
        <v>0.51446030836380274</v>
      </c>
    </row>
    <row r="31" spans="1:10" x14ac:dyDescent="0.3">
      <c r="A31">
        <v>1</v>
      </c>
      <c r="B31">
        <v>1954</v>
      </c>
      <c r="C31">
        <v>0.24554751999999999</v>
      </c>
      <c r="D31">
        <v>0.30828576079942399</v>
      </c>
      <c r="G31">
        <v>0.18350500999999997</v>
      </c>
      <c r="H31">
        <f t="shared" si="0"/>
        <v>3.9360868586065098E-3</v>
      </c>
      <c r="J31">
        <f t="shared" si="1"/>
        <v>0.11688770241848444</v>
      </c>
    </row>
    <row r="32" spans="1:10" x14ac:dyDescent="0.3">
      <c r="A32">
        <v>1</v>
      </c>
      <c r="B32">
        <v>1955</v>
      </c>
      <c r="C32">
        <v>0.16498779999999999</v>
      </c>
      <c r="D32">
        <v>0.31745579519039702</v>
      </c>
      <c r="G32">
        <v>0.17424004999999998</v>
      </c>
      <c r="H32">
        <f t="shared" si="0"/>
        <v>2.324648955737893E-2</v>
      </c>
      <c r="J32">
        <f t="shared" si="1"/>
        <v>0.76570486328951703</v>
      </c>
    </row>
    <row r="33" spans="1:10" x14ac:dyDescent="0.3">
      <c r="A33">
        <v>1</v>
      </c>
      <c r="B33">
        <v>1956</v>
      </c>
      <c r="C33">
        <v>9.9132129999999999E-2</v>
      </c>
      <c r="D33">
        <v>0.32662582958136699</v>
      </c>
      <c r="G33">
        <v>0.15192007599999999</v>
      </c>
      <c r="H33">
        <f t="shared" si="0"/>
        <v>5.1753383349217259E-2</v>
      </c>
      <c r="J33">
        <f t="shared" si="1"/>
        <v>2.2423758569189141</v>
      </c>
    </row>
    <row r="34" spans="1:10" x14ac:dyDescent="0.3">
      <c r="A34">
        <v>1</v>
      </c>
      <c r="B34">
        <v>1957</v>
      </c>
      <c r="C34">
        <v>0.32696282999999998</v>
      </c>
      <c r="D34">
        <v>0.33579586397233602</v>
      </c>
      <c r="G34">
        <v>0.13046738999999996</v>
      </c>
      <c r="H34">
        <f t="shared" si="0"/>
        <v>7.8022489156442517E-5</v>
      </c>
      <c r="J34">
        <f t="shared" si="1"/>
        <v>4.5836964862791358E-3</v>
      </c>
    </row>
    <row r="35" spans="1:10" x14ac:dyDescent="0.3">
      <c r="A35">
        <v>1</v>
      </c>
      <c r="B35">
        <v>1958</v>
      </c>
      <c r="C35">
        <v>0.3446652</v>
      </c>
      <c r="D35">
        <v>0.34496589836330499</v>
      </c>
      <c r="G35">
        <v>0.13088402999999998</v>
      </c>
      <c r="H35">
        <f t="shared" si="0"/>
        <v>9.0419505694296948E-8</v>
      </c>
      <c r="J35">
        <f t="shared" si="1"/>
        <v>5.2782360801291151E-6</v>
      </c>
    </row>
    <row r="36" spans="1:10" x14ac:dyDescent="0.3">
      <c r="A36">
        <v>1</v>
      </c>
      <c r="B36">
        <v>1959</v>
      </c>
      <c r="C36">
        <v>0.31429294000000002</v>
      </c>
      <c r="D36">
        <v>0.35413593275427502</v>
      </c>
      <c r="G36">
        <v>0.12471783000000003</v>
      </c>
      <c r="H36">
        <f t="shared" si="0"/>
        <v>1.58746407161721E-3</v>
      </c>
      <c r="J36">
        <f t="shared" si="1"/>
        <v>0.10205794356846196</v>
      </c>
    </row>
    <row r="37" spans="1:10" x14ac:dyDescent="0.3">
      <c r="A37">
        <v>1</v>
      </c>
      <c r="B37">
        <v>1960</v>
      </c>
      <c r="C37">
        <v>0.24683817</v>
      </c>
      <c r="D37">
        <v>0.36330596714524399</v>
      </c>
      <c r="G37">
        <v>0.11735596999999998</v>
      </c>
      <c r="H37">
        <f t="shared" si="0"/>
        <v>1.3564747771865705E-2</v>
      </c>
      <c r="J37">
        <f t="shared" si="1"/>
        <v>0.98492088775514519</v>
      </c>
    </row>
    <row r="38" spans="1:10" x14ac:dyDescent="0.3">
      <c r="A38">
        <v>1</v>
      </c>
      <c r="B38">
        <v>1961</v>
      </c>
      <c r="C38">
        <v>0.34229797000000001</v>
      </c>
      <c r="D38">
        <v>0.37247600153621702</v>
      </c>
      <c r="G38">
        <v>0.10156016000000001</v>
      </c>
      <c r="H38">
        <f t="shared" si="0"/>
        <v>9.1071358740090836E-4</v>
      </c>
      <c r="J38">
        <f t="shared" si="1"/>
        <v>8.8294787014645743E-2</v>
      </c>
    </row>
    <row r="39" spans="1:10" x14ac:dyDescent="0.3">
      <c r="A39">
        <v>1</v>
      </c>
      <c r="B39">
        <v>1962</v>
      </c>
      <c r="C39">
        <v>0.29825502999999998</v>
      </c>
      <c r="D39">
        <v>0.38164603592718599</v>
      </c>
      <c r="G39">
        <v>0.10653303000000003</v>
      </c>
      <c r="H39">
        <f t="shared" si="0"/>
        <v>6.954059869547973E-3</v>
      </c>
      <c r="J39">
        <f t="shared" si="1"/>
        <v>0.612731018923662</v>
      </c>
    </row>
    <row r="40" spans="1:10" x14ac:dyDescent="0.3">
      <c r="A40">
        <v>1</v>
      </c>
      <c r="B40">
        <v>1963</v>
      </c>
      <c r="C40">
        <v>0.32548714000000001</v>
      </c>
      <c r="D40">
        <v>0.39081607031815502</v>
      </c>
      <c r="G40">
        <v>0.10753833000000002</v>
      </c>
      <c r="H40">
        <f t="shared" si="0"/>
        <v>4.2678691365143524E-3</v>
      </c>
      <c r="J40">
        <f t="shared" si="1"/>
        <v>0.36904941278985137</v>
      </c>
    </row>
    <row r="41" spans="1:10" x14ac:dyDescent="0.3">
      <c r="A41">
        <v>1</v>
      </c>
      <c r="B41">
        <v>1964</v>
      </c>
      <c r="C41">
        <v>5.6436214999999998E-2</v>
      </c>
      <c r="D41">
        <v>0.39998610470912499</v>
      </c>
      <c r="G41">
        <v>8.726594E-2</v>
      </c>
      <c r="H41">
        <f t="shared" si="0"/>
        <v>0.11802652671915194</v>
      </c>
      <c r="J41">
        <f>H41/(G41^2)</f>
        <v>15.498514882095678</v>
      </c>
    </row>
    <row r="42" spans="1:10" x14ac:dyDescent="0.3">
      <c r="A42">
        <v>1</v>
      </c>
      <c r="B42">
        <v>1965</v>
      </c>
      <c r="C42">
        <v>0.15787726999999999</v>
      </c>
      <c r="D42">
        <v>0.40915613910009402</v>
      </c>
      <c r="G42">
        <v>9.838044E-2</v>
      </c>
      <c r="H42">
        <f t="shared" si="0"/>
        <v>6.3141070056222173E-2</v>
      </c>
      <c r="J42">
        <f t="shared" si="1"/>
        <v>6.5237065371583123</v>
      </c>
    </row>
    <row r="43" spans="1:10" x14ac:dyDescent="0.3">
      <c r="A43">
        <v>1</v>
      </c>
      <c r="B43">
        <v>1966</v>
      </c>
      <c r="C43">
        <v>0.21340013999999999</v>
      </c>
      <c r="D43">
        <v>0.41832617349106299</v>
      </c>
      <c r="G43">
        <v>9.9023140000000037E-2</v>
      </c>
      <c r="H43">
        <f t="shared" si="0"/>
        <v>4.1994679202380272E-2</v>
      </c>
      <c r="J43">
        <f t="shared" si="1"/>
        <v>4.2827318264551035</v>
      </c>
    </row>
    <row r="44" spans="1:10" x14ac:dyDescent="0.3">
      <c r="A44">
        <v>1</v>
      </c>
      <c r="B44">
        <v>1967</v>
      </c>
      <c r="C44">
        <v>0.24475846000000001</v>
      </c>
      <c r="D44">
        <v>0.42749620788203602</v>
      </c>
      <c r="G44">
        <v>8.6234999999999978E-2</v>
      </c>
      <c r="H44">
        <f t="shared" si="0"/>
        <v>3.3393084500998552E-2</v>
      </c>
      <c r="J44">
        <f t="shared" si="1"/>
        <v>4.4904452029554855</v>
      </c>
    </row>
    <row r="45" spans="1:10" x14ac:dyDescent="0.3">
      <c r="A45">
        <v>1</v>
      </c>
      <c r="B45">
        <v>1968</v>
      </c>
      <c r="C45">
        <v>0.19365019</v>
      </c>
      <c r="D45">
        <v>0.43666624227300499</v>
      </c>
      <c r="G45">
        <v>8.9255870000000015E-2</v>
      </c>
      <c r="H45">
        <f t="shared" si="0"/>
        <v>5.9056801662355891E-2</v>
      </c>
      <c r="J45">
        <f t="shared" si="1"/>
        <v>7.4130400785376294</v>
      </c>
    </row>
    <row r="46" spans="1:10" x14ac:dyDescent="0.3">
      <c r="A46">
        <v>1</v>
      </c>
      <c r="B46">
        <v>1969</v>
      </c>
      <c r="C46">
        <v>0.33091152000000001</v>
      </c>
      <c r="D46">
        <v>0.44583627666397502</v>
      </c>
      <c r="G46">
        <v>8.1010250000000006E-2</v>
      </c>
      <c r="H46">
        <f t="shared" si="0"/>
        <v>1.3207699694273867E-2</v>
      </c>
      <c r="J46">
        <f t="shared" si="1"/>
        <v>2.0125526046684965</v>
      </c>
    </row>
    <row r="47" spans="1:10" x14ac:dyDescent="0.3">
      <c r="A47">
        <v>1</v>
      </c>
      <c r="B47">
        <v>1970</v>
      </c>
      <c r="C47">
        <v>0.27723365999999999</v>
      </c>
      <c r="D47">
        <v>0.45500631105494399</v>
      </c>
      <c r="G47">
        <v>8.1977119999999987E-2</v>
      </c>
      <c r="H47">
        <f t="shared" si="0"/>
        <v>3.1603115463102883E-2</v>
      </c>
      <c r="J47">
        <f t="shared" si="1"/>
        <v>4.7026708696071493</v>
      </c>
    </row>
    <row r="48" spans="1:10" x14ac:dyDescent="0.3">
      <c r="A48">
        <v>1</v>
      </c>
      <c r="B48">
        <v>1971</v>
      </c>
      <c r="C48">
        <v>0.15640870000000001</v>
      </c>
      <c r="D48">
        <v>0.46417634544591302</v>
      </c>
      <c r="G48">
        <v>7.7166373999999996E-2</v>
      </c>
      <c r="H48">
        <f t="shared" si="0"/>
        <v>9.4720923583321223E-2</v>
      </c>
      <c r="J48">
        <f t="shared" si="1"/>
        <v>15.907053327253566</v>
      </c>
    </row>
    <row r="49" spans="1:10" x14ac:dyDescent="0.3">
      <c r="A49">
        <v>1</v>
      </c>
      <c r="B49">
        <v>1972</v>
      </c>
      <c r="C49">
        <v>0.26850644000000001</v>
      </c>
      <c r="D49">
        <v>0.47334637983688299</v>
      </c>
      <c r="G49">
        <v>7.5784360000000023E-2</v>
      </c>
      <c r="H49">
        <f t="shared" si="0"/>
        <v>4.1959400952377837E-2</v>
      </c>
      <c r="J49">
        <f t="shared" si="1"/>
        <v>7.3058391206540332</v>
      </c>
    </row>
    <row r="50" spans="1:10" x14ac:dyDescent="0.3">
      <c r="A50">
        <v>1</v>
      </c>
      <c r="B50">
        <v>1973</v>
      </c>
      <c r="C50">
        <v>0.4122479</v>
      </c>
      <c r="D50">
        <v>0.48251641422785502</v>
      </c>
      <c r="G50">
        <v>7.2942280000000026E-2</v>
      </c>
      <c r="H50">
        <f t="shared" si="0"/>
        <v>4.9376640917902634E-3</v>
      </c>
      <c r="J50">
        <f t="shared" si="1"/>
        <v>0.92803183253471211</v>
      </c>
    </row>
    <row r="51" spans="1:10" x14ac:dyDescent="0.3">
      <c r="A51">
        <v>1</v>
      </c>
      <c r="B51">
        <v>1974</v>
      </c>
      <c r="C51">
        <v>0.18977118000000001</v>
      </c>
      <c r="D51">
        <v>0.49168644861882499</v>
      </c>
      <c r="G51">
        <v>7.539816000000002E-2</v>
      </c>
      <c r="H51">
        <f t="shared" si="0"/>
        <v>9.1152829425177259E-2</v>
      </c>
      <c r="J51">
        <f t="shared" si="1"/>
        <v>16.034250298389217</v>
      </c>
    </row>
    <row r="52" spans="1:10" x14ac:dyDescent="0.3">
      <c r="A52">
        <v>1</v>
      </c>
      <c r="B52">
        <v>1975</v>
      </c>
      <c r="C52">
        <v>0.25154352000000002</v>
      </c>
      <c r="D52">
        <v>0.50085648300979402</v>
      </c>
      <c r="G52">
        <v>8.110176999999999E-2</v>
      </c>
      <c r="H52">
        <f t="shared" si="0"/>
        <v>6.2156953524722912E-2</v>
      </c>
      <c r="J52">
        <f t="shared" si="1"/>
        <v>9.4499400922300456</v>
      </c>
    </row>
    <row r="53" spans="1:10" x14ac:dyDescent="0.3">
      <c r="A53">
        <v>1</v>
      </c>
      <c r="B53">
        <v>1976</v>
      </c>
      <c r="C53">
        <v>0.14646085</v>
      </c>
      <c r="D53">
        <v>0.51002651740076299</v>
      </c>
      <c r="G53">
        <v>8.0047466000000012E-2</v>
      </c>
      <c r="H53">
        <f t="shared" si="0"/>
        <v>0.13217999451256224</v>
      </c>
      <c r="J53">
        <f t="shared" si="1"/>
        <v>20.628637907421624</v>
      </c>
    </row>
    <row r="54" spans="1:10" x14ac:dyDescent="0.3">
      <c r="A54">
        <v>1</v>
      </c>
      <c r="B54">
        <v>1977</v>
      </c>
      <c r="C54">
        <v>0.46538624000000001</v>
      </c>
      <c r="D54">
        <v>0.51919655179173296</v>
      </c>
      <c r="G54">
        <v>8.6063669999999981E-2</v>
      </c>
      <c r="H54">
        <f t="shared" si="0"/>
        <v>2.8955496551235148E-3</v>
      </c>
      <c r="J54">
        <f t="shared" si="1"/>
        <v>0.39092306355896389</v>
      </c>
    </row>
    <row r="55" spans="1:10" x14ac:dyDescent="0.3">
      <c r="A55">
        <v>1</v>
      </c>
      <c r="B55">
        <v>1978</v>
      </c>
      <c r="C55">
        <v>0.36755369999999998</v>
      </c>
      <c r="D55">
        <v>0.52836658618270205</v>
      </c>
      <c r="G55">
        <v>7.9705179999999987E-2</v>
      </c>
      <c r="H55">
        <f t="shared" si="0"/>
        <v>2.586078436241069E-2</v>
      </c>
      <c r="J55">
        <f t="shared" si="1"/>
        <v>4.0706953321842025</v>
      </c>
    </row>
    <row r="56" spans="1:10" x14ac:dyDescent="0.3">
      <c r="A56">
        <v>1</v>
      </c>
      <c r="B56">
        <v>1979</v>
      </c>
      <c r="C56">
        <v>0.45315588000000001</v>
      </c>
      <c r="D56">
        <v>0.53753662057367502</v>
      </c>
      <c r="G56">
        <v>5.6999040000000001E-2</v>
      </c>
      <c r="H56">
        <f t="shared" si="0"/>
        <v>7.120109379761843E-3</v>
      </c>
      <c r="J56">
        <f t="shared" si="1"/>
        <v>2.1915510067972588</v>
      </c>
    </row>
    <row r="57" spans="1:10" x14ac:dyDescent="0.3">
      <c r="A57">
        <v>1</v>
      </c>
      <c r="B57">
        <v>1980</v>
      </c>
      <c r="C57">
        <v>0.55836980000000003</v>
      </c>
      <c r="D57">
        <v>0.54670665496464399</v>
      </c>
      <c r="G57">
        <v>6.6536150000000016E-2</v>
      </c>
      <c r="H57">
        <f t="shared" si="0"/>
        <v>1.3602895211575018E-4</v>
      </c>
      <c r="J57">
        <f t="shared" si="1"/>
        <v>3.072670687796129E-2</v>
      </c>
    </row>
    <row r="58" spans="1:10" x14ac:dyDescent="0.3">
      <c r="A58">
        <v>1</v>
      </c>
      <c r="B58">
        <v>1981</v>
      </c>
      <c r="C58">
        <v>0.61230980000000002</v>
      </c>
      <c r="D58">
        <v>0.55587668935561396</v>
      </c>
      <c r="G58">
        <v>6.1241569999999967E-2</v>
      </c>
      <c r="H58">
        <f t="shared" si="0"/>
        <v>3.1846959770015183E-3</v>
      </c>
      <c r="J58">
        <f t="shared" si="1"/>
        <v>0.84913227337367503</v>
      </c>
    </row>
    <row r="59" spans="1:10" x14ac:dyDescent="0.3">
      <c r="A59">
        <v>1</v>
      </c>
      <c r="B59">
        <v>1982</v>
      </c>
      <c r="C59">
        <v>0.39656603000000001</v>
      </c>
      <c r="D59">
        <v>0.56504672374658305</v>
      </c>
      <c r="G59">
        <v>7.8753829999999969E-2</v>
      </c>
      <c r="H59">
        <f t="shared" si="0"/>
        <v>2.8385744165329903E-2</v>
      </c>
      <c r="J59">
        <f t="shared" si="1"/>
        <v>4.5767471165395337</v>
      </c>
    </row>
    <row r="60" spans="1:10" x14ac:dyDescent="0.3">
      <c r="A60">
        <v>1</v>
      </c>
      <c r="B60">
        <v>1983</v>
      </c>
      <c r="C60">
        <v>0.58610759999999995</v>
      </c>
      <c r="D60">
        <v>0.57421675813755202</v>
      </c>
      <c r="G60">
        <v>7.1531040000000101E-2</v>
      </c>
      <c r="H60">
        <f t="shared" si="0"/>
        <v>1.413921201977442E-4</v>
      </c>
      <c r="J60">
        <f t="shared" si="1"/>
        <v>2.763351481998317E-2</v>
      </c>
    </row>
    <row r="61" spans="1:10" x14ac:dyDescent="0.3">
      <c r="A61">
        <v>1</v>
      </c>
      <c r="B61">
        <v>1984</v>
      </c>
      <c r="C61">
        <v>0.41029125</v>
      </c>
      <c r="D61">
        <v>0.58338679252852099</v>
      </c>
      <c r="G61">
        <v>7.2906699999999991E-2</v>
      </c>
      <c r="H61">
        <f t="shared" si="0"/>
        <v>2.996206684324302E-2</v>
      </c>
      <c r="J61">
        <f t="shared" si="1"/>
        <v>5.6368552994098708</v>
      </c>
    </row>
    <row r="62" spans="1:10" x14ac:dyDescent="0.3">
      <c r="A62">
        <v>1</v>
      </c>
      <c r="B62">
        <v>1985</v>
      </c>
      <c r="C62">
        <v>0.41202748</v>
      </c>
      <c r="D62">
        <v>0.59255682691949396</v>
      </c>
      <c r="G62">
        <v>6.8132599999999988E-2</v>
      </c>
      <c r="H62">
        <f t="shared" si="0"/>
        <v>3.2590845099179006E-2</v>
      </c>
      <c r="J62">
        <f t="shared" si="1"/>
        <v>7.0207853847491721</v>
      </c>
    </row>
    <row r="63" spans="1:10" x14ac:dyDescent="0.3">
      <c r="A63">
        <v>1</v>
      </c>
      <c r="B63">
        <v>1986</v>
      </c>
      <c r="C63">
        <v>0.45798472000000001</v>
      </c>
      <c r="D63">
        <v>0.60172686131046405</v>
      </c>
      <c r="G63">
        <v>6.2557950000000029E-2</v>
      </c>
      <c r="H63">
        <f t="shared" si="0"/>
        <v>2.0661803188517409E-2</v>
      </c>
      <c r="J63">
        <f t="shared" si="1"/>
        <v>5.2796265379144538</v>
      </c>
    </row>
    <row r="64" spans="1:10" x14ac:dyDescent="0.3">
      <c r="A64">
        <v>1</v>
      </c>
      <c r="B64">
        <v>1987</v>
      </c>
      <c r="C64">
        <v>0.60532414999999995</v>
      </c>
      <c r="D64">
        <v>0.61089689570143302</v>
      </c>
      <c r="G64">
        <v>6.168169999999995E-2</v>
      </c>
      <c r="H64">
        <f t="shared" si="0"/>
        <v>3.1055494652840742E-5</v>
      </c>
      <c r="J64">
        <f t="shared" si="1"/>
        <v>8.162548628893828E-3</v>
      </c>
    </row>
    <row r="65" spans="1:10" x14ac:dyDescent="0.3">
      <c r="A65">
        <v>1</v>
      </c>
      <c r="B65">
        <v>1988</v>
      </c>
      <c r="C65">
        <v>0.64444950000000001</v>
      </c>
      <c r="D65">
        <v>0.62006693009240199</v>
      </c>
      <c r="G65">
        <v>7.0232859999999953E-2</v>
      </c>
      <c r="H65">
        <f t="shared" si="0"/>
        <v>5.9450971529890443E-4</v>
      </c>
      <c r="J65">
        <f t="shared" si="1"/>
        <v>0.12052530749525046</v>
      </c>
    </row>
    <row r="66" spans="1:10" x14ac:dyDescent="0.3">
      <c r="A66">
        <v>1</v>
      </c>
      <c r="B66">
        <v>1989</v>
      </c>
      <c r="C66">
        <v>0.54154809999999998</v>
      </c>
      <c r="D66">
        <v>0.62923696448337196</v>
      </c>
      <c r="G66">
        <v>6.9503699999999946E-2</v>
      </c>
      <c r="H66">
        <f t="shared" ref="H66:H129" si="2">(C66-D66)^2</f>
        <v>7.6893369543831773E-3</v>
      </c>
      <c r="J66">
        <f t="shared" si="1"/>
        <v>1.5917433464083981</v>
      </c>
    </row>
    <row r="67" spans="1:10" x14ac:dyDescent="0.3">
      <c r="A67">
        <v>1</v>
      </c>
      <c r="B67">
        <v>1990</v>
      </c>
      <c r="C67">
        <v>0.72288010000000003</v>
      </c>
      <c r="D67">
        <v>0.63840699887434105</v>
      </c>
      <c r="G67">
        <v>7.2027339999999995E-2</v>
      </c>
      <c r="H67">
        <f t="shared" si="2"/>
        <v>7.1357048137858084E-3</v>
      </c>
      <c r="J67">
        <f t="shared" ref="J67:J130" si="3">H67/(G67^2)</f>
        <v>1.3754414983633205</v>
      </c>
    </row>
    <row r="68" spans="1:10" x14ac:dyDescent="0.3">
      <c r="A68">
        <v>1</v>
      </c>
      <c r="B68">
        <v>1991</v>
      </c>
      <c r="C68">
        <v>0.70119430000000005</v>
      </c>
      <c r="D68">
        <v>0.64757703326531402</v>
      </c>
      <c r="G68">
        <v>6.9720759999999937E-2</v>
      </c>
      <c r="H68">
        <f t="shared" si="2"/>
        <v>2.8748112920984692E-3</v>
      </c>
      <c r="J68">
        <f t="shared" si="3"/>
        <v>0.59140517029777984</v>
      </c>
    </row>
    <row r="69" spans="1:10" x14ac:dyDescent="0.3">
      <c r="A69">
        <v>1</v>
      </c>
      <c r="B69">
        <v>1992</v>
      </c>
      <c r="C69">
        <v>0.48719456999999999</v>
      </c>
      <c r="D69">
        <v>0.65674706765628299</v>
      </c>
      <c r="G69">
        <v>6.8029430000000002E-2</v>
      </c>
      <c r="H69">
        <f t="shared" si="2"/>
        <v>2.8748049461483852E-2</v>
      </c>
      <c r="J69">
        <f t="shared" si="3"/>
        <v>6.2117607338281307</v>
      </c>
    </row>
    <row r="70" spans="1:10" x14ac:dyDescent="0.3">
      <c r="A70">
        <v>1</v>
      </c>
      <c r="B70">
        <v>1993</v>
      </c>
      <c r="C70">
        <v>0.52800493999999998</v>
      </c>
      <c r="D70">
        <v>0.66591710204725196</v>
      </c>
      <c r="G70">
        <v>7.4980899999999961E-2</v>
      </c>
      <c r="H70">
        <f t="shared" si="2"/>
        <v>1.9019764440547492E-2</v>
      </c>
      <c r="J70">
        <f t="shared" si="3"/>
        <v>3.3830143186511989</v>
      </c>
    </row>
    <row r="71" spans="1:10" x14ac:dyDescent="0.3">
      <c r="A71">
        <v>1</v>
      </c>
      <c r="B71">
        <v>1994</v>
      </c>
      <c r="C71">
        <v>0.59584755</v>
      </c>
      <c r="D71">
        <v>0.67508713643822205</v>
      </c>
      <c r="G71">
        <v>7.0273669999999955E-2</v>
      </c>
      <c r="H71">
        <f t="shared" si="2"/>
        <v>6.2789120589004628E-3</v>
      </c>
      <c r="J71">
        <f t="shared" si="3"/>
        <v>1.2714495448517096</v>
      </c>
    </row>
    <row r="72" spans="1:10" x14ac:dyDescent="0.3">
      <c r="A72">
        <v>1</v>
      </c>
      <c r="B72">
        <v>1995</v>
      </c>
      <c r="C72">
        <v>0.73916389999999998</v>
      </c>
      <c r="D72">
        <v>0.68425717082919102</v>
      </c>
      <c r="G72">
        <v>6.6420759999999968E-2</v>
      </c>
      <c r="H72">
        <f t="shared" si="2"/>
        <v>3.0147489082365643E-3</v>
      </c>
      <c r="J72">
        <f t="shared" si="3"/>
        <v>0.68335041955979348</v>
      </c>
    </row>
    <row r="73" spans="1:10" x14ac:dyDescent="0.3">
      <c r="A73">
        <v>1</v>
      </c>
      <c r="B73">
        <v>1996</v>
      </c>
      <c r="C73">
        <v>0.63898710000000003</v>
      </c>
      <c r="D73">
        <v>0.69342720522015999</v>
      </c>
      <c r="G73">
        <v>6.7018750000000016E-2</v>
      </c>
      <c r="H73">
        <f t="shared" si="2"/>
        <v>2.9637250563820878E-3</v>
      </c>
      <c r="J73">
        <f t="shared" si="3"/>
        <v>0.65985006707730343</v>
      </c>
    </row>
    <row r="74" spans="1:10" x14ac:dyDescent="0.3">
      <c r="A74">
        <v>1</v>
      </c>
      <c r="B74">
        <v>1997</v>
      </c>
      <c r="C74">
        <v>0.78460629999999998</v>
      </c>
      <c r="D74">
        <v>0.70259723961113296</v>
      </c>
      <c r="G74">
        <v>6.4435360000000053E-2</v>
      </c>
      <c r="H74">
        <f t="shared" si="2"/>
        <v>6.7254859858648375E-3</v>
      </c>
      <c r="J74">
        <f t="shared" si="3"/>
        <v>1.6198513178287148</v>
      </c>
    </row>
    <row r="75" spans="1:10" x14ac:dyDescent="0.3">
      <c r="A75">
        <v>1</v>
      </c>
      <c r="B75">
        <v>1998</v>
      </c>
      <c r="C75">
        <v>0.93963945000000004</v>
      </c>
      <c r="D75">
        <v>0.71176727400210205</v>
      </c>
      <c r="G75">
        <v>6.8545859999999958E-2</v>
      </c>
      <c r="H75">
        <f t="shared" si="2"/>
        <v>5.1925728594017E-2</v>
      </c>
      <c r="J75">
        <f t="shared" si="3"/>
        <v>11.051472308589304</v>
      </c>
    </row>
    <row r="76" spans="1:10" x14ac:dyDescent="0.3">
      <c r="A76">
        <v>1</v>
      </c>
      <c r="B76">
        <v>1999</v>
      </c>
      <c r="C76">
        <v>0.68678269999999997</v>
      </c>
      <c r="D76">
        <v>0.72093730839307202</v>
      </c>
      <c r="G76">
        <v>6.3300429999999963E-2</v>
      </c>
      <c r="H76">
        <f t="shared" si="2"/>
        <v>1.1665372744841078E-3</v>
      </c>
      <c r="J76">
        <f t="shared" si="3"/>
        <v>0.29112888698115741</v>
      </c>
    </row>
    <row r="77" spans="1:10" x14ac:dyDescent="0.3">
      <c r="A77">
        <v>1</v>
      </c>
      <c r="B77">
        <v>2000</v>
      </c>
      <c r="C77">
        <v>0.69338250000000001</v>
      </c>
      <c r="D77">
        <v>0.73010734278404099</v>
      </c>
      <c r="G77">
        <v>6.5713839999999912E-2</v>
      </c>
      <c r="H77">
        <f t="shared" si="2"/>
        <v>1.3487140775125268E-3</v>
      </c>
      <c r="J77">
        <f t="shared" si="3"/>
        <v>0.31232460440273235</v>
      </c>
    </row>
    <row r="78" spans="1:10" x14ac:dyDescent="0.3">
      <c r="A78">
        <v>1</v>
      </c>
      <c r="B78">
        <v>2001</v>
      </c>
      <c r="C78">
        <v>0.8515781</v>
      </c>
      <c r="D78">
        <v>0.73927737717500996</v>
      </c>
      <c r="G78">
        <v>6.2424050000000064E-2</v>
      </c>
      <c r="H78">
        <f t="shared" si="2"/>
        <v>1.2611452347015238E-2</v>
      </c>
      <c r="J78">
        <f t="shared" si="3"/>
        <v>3.2363927505599506</v>
      </c>
    </row>
    <row r="79" spans="1:10" x14ac:dyDescent="0.3">
      <c r="A79">
        <v>1</v>
      </c>
      <c r="B79">
        <v>2002</v>
      </c>
      <c r="C79">
        <v>0.90576429999999997</v>
      </c>
      <c r="D79">
        <v>0.74844741156598005</v>
      </c>
      <c r="G79">
        <v>6.136929999999996E-2</v>
      </c>
      <c r="H79">
        <f t="shared" si="2"/>
        <v>2.474860338656187E-2</v>
      </c>
      <c r="J79">
        <f t="shared" si="3"/>
        <v>6.5712555474814174</v>
      </c>
    </row>
    <row r="80" spans="1:10" x14ac:dyDescent="0.3">
      <c r="A80">
        <v>1</v>
      </c>
      <c r="B80">
        <v>2003</v>
      </c>
      <c r="C80">
        <v>0.90646789999999999</v>
      </c>
      <c r="D80">
        <v>0.75761744595695202</v>
      </c>
      <c r="G80">
        <v>6.5855100000000055E-2</v>
      </c>
      <c r="H80">
        <f t="shared" si="2"/>
        <v>2.2156457668821537E-2</v>
      </c>
      <c r="J80">
        <f t="shared" si="3"/>
        <v>5.1088305749321101</v>
      </c>
    </row>
    <row r="81" spans="1:11" x14ac:dyDescent="0.3">
      <c r="A81">
        <v>1</v>
      </c>
      <c r="B81">
        <v>2004</v>
      </c>
      <c r="C81">
        <v>0.82966846000000005</v>
      </c>
      <c r="D81">
        <v>0.76678748034792199</v>
      </c>
      <c r="G81">
        <v>6.6064800000000035E-2</v>
      </c>
      <c r="H81">
        <f t="shared" si="2"/>
        <v>3.954017602005055E-3</v>
      </c>
      <c r="J81">
        <f t="shared" si="3"/>
        <v>0.90593773391539245</v>
      </c>
    </row>
    <row r="82" spans="1:11" x14ac:dyDescent="0.3">
      <c r="A82">
        <v>1</v>
      </c>
      <c r="B82">
        <v>2005</v>
      </c>
      <c r="C82">
        <v>0.96916026</v>
      </c>
      <c r="D82">
        <v>0.77595751473889096</v>
      </c>
      <c r="G82">
        <v>6.2314439999999971E-2</v>
      </c>
      <c r="H82">
        <f t="shared" si="2"/>
        <v>3.7327300776428991E-2</v>
      </c>
      <c r="J82">
        <f t="shared" si="3"/>
        <v>9.6127842083375175</v>
      </c>
    </row>
    <row r="83" spans="1:11" x14ac:dyDescent="0.3">
      <c r="A83">
        <v>1</v>
      </c>
      <c r="B83">
        <v>2006</v>
      </c>
      <c r="C83">
        <v>0.93485045</v>
      </c>
      <c r="D83">
        <v>0.78512754912986005</v>
      </c>
      <c r="G83">
        <v>6.1159370000000046E-2</v>
      </c>
      <c r="H83">
        <f t="shared" si="2"/>
        <v>2.2416947044969753E-2</v>
      </c>
      <c r="J83">
        <f t="shared" si="3"/>
        <v>5.9930853080186575</v>
      </c>
    </row>
    <row r="84" spans="1:11" x14ac:dyDescent="0.3">
      <c r="A84">
        <v>1</v>
      </c>
      <c r="B84">
        <v>2007</v>
      </c>
      <c r="C84">
        <v>0.95399909999999999</v>
      </c>
      <c r="D84">
        <v>0.79429758352083002</v>
      </c>
      <c r="G84">
        <v>6.0696299999999925E-2</v>
      </c>
      <c r="H84">
        <f t="shared" si="2"/>
        <v>2.5504574365746598E-2</v>
      </c>
      <c r="J84">
        <f t="shared" si="3"/>
        <v>6.9229890538973287</v>
      </c>
    </row>
    <row r="85" spans="1:11" x14ac:dyDescent="0.3">
      <c r="A85">
        <v>1</v>
      </c>
      <c r="B85">
        <v>2008</v>
      </c>
      <c r="C85">
        <v>0.82794760000000001</v>
      </c>
      <c r="D85">
        <v>0.80346761791179899</v>
      </c>
      <c r="G85">
        <v>6.598499999999996E-2</v>
      </c>
      <c r="H85">
        <f t="shared" si="2"/>
        <v>5.9926952303864249E-4</v>
      </c>
      <c r="J85">
        <f t="shared" si="3"/>
        <v>0.13763590706302778</v>
      </c>
    </row>
    <row r="86" spans="1:11" x14ac:dyDescent="0.3">
      <c r="A86">
        <v>1</v>
      </c>
      <c r="B86">
        <v>2009</v>
      </c>
      <c r="C86">
        <v>0.95907940000000003</v>
      </c>
      <c r="D86">
        <v>0.81263765230277196</v>
      </c>
      <c r="G86">
        <v>6.3052039999999976E-2</v>
      </c>
      <c r="H86">
        <f t="shared" si="2"/>
        <v>2.1445185468618601E-2</v>
      </c>
      <c r="J86">
        <f t="shared" si="3"/>
        <v>5.3942556085430278</v>
      </c>
    </row>
    <row r="87" spans="1:11" x14ac:dyDescent="0.3">
      <c r="A87">
        <v>1</v>
      </c>
      <c r="B87">
        <v>2010</v>
      </c>
      <c r="C87">
        <v>1.0426692</v>
      </c>
      <c r="D87">
        <v>0.82180768669374105</v>
      </c>
      <c r="G87">
        <v>6.2591000000000063E-2</v>
      </c>
      <c r="H87">
        <f t="shared" si="2"/>
        <v>4.8779808059930783E-2</v>
      </c>
      <c r="J87">
        <f t="shared" si="3"/>
        <v>12.451346147304358</v>
      </c>
    </row>
    <row r="88" spans="1:11" x14ac:dyDescent="0.3">
      <c r="A88">
        <v>1</v>
      </c>
      <c r="B88">
        <v>2011</v>
      </c>
      <c r="C88">
        <v>0.89999549999999995</v>
      </c>
      <c r="D88">
        <v>0.83097772108471002</v>
      </c>
      <c r="G88">
        <v>6.339311000000003E-2</v>
      </c>
      <c r="H88">
        <f t="shared" si="2"/>
        <v>4.7634538063998392E-3</v>
      </c>
      <c r="J88">
        <f t="shared" si="3"/>
        <v>1.1853260836095281</v>
      </c>
    </row>
    <row r="89" spans="1:11" x14ac:dyDescent="0.3">
      <c r="A89">
        <v>1</v>
      </c>
      <c r="B89">
        <v>2012</v>
      </c>
      <c r="C89">
        <v>0.93990479999999998</v>
      </c>
      <c r="D89">
        <v>0.84014775547567999</v>
      </c>
      <c r="G89">
        <v>6.5503599999999995E-2</v>
      </c>
      <c r="H89">
        <f t="shared" si="2"/>
        <v>9.9514679322271621E-3</v>
      </c>
      <c r="J89">
        <f t="shared" si="3"/>
        <v>2.3192993696372759</v>
      </c>
    </row>
    <row r="90" spans="1:11" x14ac:dyDescent="0.3">
      <c r="A90">
        <v>1</v>
      </c>
      <c r="B90">
        <v>2013</v>
      </c>
      <c r="C90">
        <v>0.98587309999999995</v>
      </c>
      <c r="D90">
        <v>0.84931778986664896</v>
      </c>
      <c r="G90">
        <v>7.0183000000000106E-2</v>
      </c>
      <c r="H90">
        <f t="shared" si="2"/>
        <v>1.8647352725615671E-2</v>
      </c>
      <c r="J90">
        <f t="shared" si="3"/>
        <v>3.7857621871410561</v>
      </c>
    </row>
    <row r="91" spans="1:11" x14ac:dyDescent="0.3">
      <c r="A91">
        <v>1</v>
      </c>
      <c r="B91">
        <v>2014</v>
      </c>
      <c r="C91">
        <v>1.0351694</v>
      </c>
      <c r="D91">
        <v>0.85848782425761805</v>
      </c>
      <c r="G91">
        <v>6.7933499999999869E-2</v>
      </c>
      <c r="H91">
        <f t="shared" si="2"/>
        <v>3.1216379206811057E-2</v>
      </c>
      <c r="J91">
        <f t="shared" si="3"/>
        <v>6.7641705129925676</v>
      </c>
    </row>
    <row r="92" spans="1:11" x14ac:dyDescent="0.3">
      <c r="A92">
        <v>1</v>
      </c>
      <c r="B92">
        <v>2015</v>
      </c>
      <c r="C92">
        <v>1.1874121</v>
      </c>
      <c r="D92">
        <v>0.86765785864859102</v>
      </c>
      <c r="G92">
        <v>6.7654600000000009E-2</v>
      </c>
      <c r="H92">
        <f t="shared" si="2"/>
        <v>0.10224277486221509</v>
      </c>
      <c r="J92">
        <f t="shared" si="3"/>
        <v>22.337674919643323</v>
      </c>
    </row>
    <row r="93" spans="1:11" x14ac:dyDescent="0.3">
      <c r="A93">
        <v>2</v>
      </c>
      <c r="B93">
        <v>1925</v>
      </c>
      <c r="C93">
        <v>8.0155770000000001E-2</v>
      </c>
      <c r="D93">
        <v>0.26106548070390501</v>
      </c>
      <c r="G93">
        <v>0.22561889600000001</v>
      </c>
      <c r="H93">
        <f t="shared" si="2"/>
        <v>3.2728323426970594E-2</v>
      </c>
      <c r="J93">
        <f t="shared" si="3"/>
        <v>0.64294351275345252</v>
      </c>
      <c r="K93">
        <f>SUM(J93:J183)</f>
        <v>120.48669397128698</v>
      </c>
    </row>
    <row r="94" spans="1:11" x14ac:dyDescent="0.3">
      <c r="A94">
        <v>2</v>
      </c>
      <c r="B94">
        <v>1926</v>
      </c>
      <c r="C94">
        <v>0.23974274000000001</v>
      </c>
      <c r="D94">
        <v>0.25565480061197798</v>
      </c>
      <c r="G94">
        <v>0.21658418000000002</v>
      </c>
      <c r="H94">
        <f t="shared" si="2"/>
        <v>2.5319367291926087E-4</v>
      </c>
      <c r="J94">
        <f t="shared" si="3"/>
        <v>5.3975837103643325E-3</v>
      </c>
    </row>
    <row r="95" spans="1:11" x14ac:dyDescent="0.3">
      <c r="A95">
        <v>2</v>
      </c>
      <c r="B95">
        <v>1927</v>
      </c>
      <c r="C95">
        <v>0.13318415</v>
      </c>
      <c r="D95">
        <v>0.25057177702524303</v>
      </c>
      <c r="G95">
        <v>0.20616828800000001</v>
      </c>
      <c r="H95">
        <f t="shared" si="2"/>
        <v>1.3779854978617567E-2</v>
      </c>
      <c r="J95">
        <f t="shared" si="3"/>
        <v>0.32419097293963306</v>
      </c>
    </row>
    <row r="96" spans="1:11" x14ac:dyDescent="0.3">
      <c r="A96">
        <v>2</v>
      </c>
      <c r="B96">
        <v>1928</v>
      </c>
      <c r="C96">
        <v>0.15583193000000001</v>
      </c>
      <c r="D96">
        <v>0.24581640994381301</v>
      </c>
      <c r="G96">
        <v>0.22194212700000002</v>
      </c>
      <c r="H96">
        <f t="shared" si="2"/>
        <v>8.0972066307584845E-3</v>
      </c>
      <c r="J96">
        <f t="shared" si="3"/>
        <v>0.16438255804369875</v>
      </c>
    </row>
    <row r="97" spans="1:10" x14ac:dyDescent="0.3">
      <c r="A97">
        <v>2</v>
      </c>
      <c r="B97">
        <v>1929</v>
      </c>
      <c r="C97">
        <v>-3.0145284000000001E-2</v>
      </c>
      <c r="D97">
        <v>0.241388699367689</v>
      </c>
      <c r="G97">
        <v>0.22083399999999997</v>
      </c>
      <c r="H97">
        <f t="shared" si="2"/>
        <v>7.3730704123524421E-2</v>
      </c>
      <c r="J97">
        <f t="shared" si="3"/>
        <v>1.5118771506015769</v>
      </c>
    </row>
    <row r="98" spans="1:10" x14ac:dyDescent="0.3">
      <c r="A98">
        <v>2</v>
      </c>
      <c r="B98">
        <v>1930</v>
      </c>
      <c r="C98">
        <v>0.18549231999999999</v>
      </c>
      <c r="D98">
        <v>0.237288645296757</v>
      </c>
      <c r="G98">
        <v>0.22721205999999999</v>
      </c>
      <c r="H98">
        <f t="shared" si="2"/>
        <v>2.6828593142474702E-3</v>
      </c>
      <c r="J98">
        <f t="shared" si="3"/>
        <v>5.1967896825881696E-2</v>
      </c>
    </row>
    <row r="99" spans="1:10" x14ac:dyDescent="0.3">
      <c r="A99">
        <v>2</v>
      </c>
      <c r="B99">
        <v>1931</v>
      </c>
      <c r="C99">
        <v>0.25890007999999998</v>
      </c>
      <c r="D99">
        <v>0.23351624773101701</v>
      </c>
      <c r="G99">
        <v>0.21858786000000002</v>
      </c>
      <c r="H99">
        <f t="shared" si="2"/>
        <v>6.4433894065986114E-4</v>
      </c>
      <c r="J99">
        <f t="shared" si="3"/>
        <v>1.3485352468319958E-2</v>
      </c>
    </row>
    <row r="100" spans="1:10" x14ac:dyDescent="0.3">
      <c r="A100">
        <v>2</v>
      </c>
      <c r="B100">
        <v>1932</v>
      </c>
      <c r="C100">
        <v>0.21683604000000001</v>
      </c>
      <c r="D100">
        <v>0.23007150667058299</v>
      </c>
      <c r="G100">
        <v>0.21298692999999999</v>
      </c>
      <c r="H100">
        <f t="shared" si="2"/>
        <v>1.751775779881129E-4</v>
      </c>
      <c r="J100">
        <f t="shared" si="3"/>
        <v>3.8616473425853418E-3</v>
      </c>
    </row>
    <row r="101" spans="1:10" x14ac:dyDescent="0.3">
      <c r="A101">
        <v>2</v>
      </c>
      <c r="B101">
        <v>1933</v>
      </c>
      <c r="C101">
        <v>3.9953324999999998E-2</v>
      </c>
      <c r="D101">
        <v>0.22695442211522701</v>
      </c>
      <c r="G101">
        <v>0.20951196</v>
      </c>
      <c r="H101">
        <f t="shared" si="2"/>
        <v>3.4969410322298562E-2</v>
      </c>
      <c r="J101">
        <f t="shared" si="3"/>
        <v>0.79665570315543377</v>
      </c>
    </row>
    <row r="102" spans="1:10" x14ac:dyDescent="0.3">
      <c r="A102">
        <v>2</v>
      </c>
      <c r="B102">
        <v>1934</v>
      </c>
      <c r="C102">
        <v>0.18796089999999999</v>
      </c>
      <c r="D102">
        <v>0.22416499406517601</v>
      </c>
      <c r="G102">
        <v>0.19933419999999999</v>
      </c>
      <c r="H102">
        <f t="shared" si="2"/>
        <v>1.3107364270801137E-3</v>
      </c>
      <c r="J102">
        <f t="shared" si="3"/>
        <v>3.2987677053437497E-2</v>
      </c>
    </row>
    <row r="103" spans="1:10" x14ac:dyDescent="0.3">
      <c r="A103">
        <v>2</v>
      </c>
      <c r="B103">
        <v>1935</v>
      </c>
      <c r="C103">
        <v>0.15623851</v>
      </c>
      <c r="D103">
        <v>0.22170322252043201</v>
      </c>
      <c r="G103">
        <v>0.19487621700000002</v>
      </c>
      <c r="H103">
        <f t="shared" si="2"/>
        <v>4.2856285853828079E-3</v>
      </c>
      <c r="J103">
        <f t="shared" si="3"/>
        <v>0.11284877508636787</v>
      </c>
    </row>
    <row r="104" spans="1:10" x14ac:dyDescent="0.3">
      <c r="A104">
        <v>2</v>
      </c>
      <c r="B104">
        <v>1936</v>
      </c>
      <c r="C104">
        <v>0.1927768</v>
      </c>
      <c r="D104">
        <v>0.21956910748087899</v>
      </c>
      <c r="G104">
        <v>0.18799661000000001</v>
      </c>
      <c r="H104">
        <f t="shared" si="2"/>
        <v>7.178277401499643E-4</v>
      </c>
      <c r="J104">
        <f t="shared" si="3"/>
        <v>2.0310480660582369E-2</v>
      </c>
    </row>
    <row r="105" spans="1:10" x14ac:dyDescent="0.3">
      <c r="A105">
        <v>2</v>
      </c>
      <c r="B105">
        <v>1937</v>
      </c>
      <c r="C105">
        <v>0.34309879999999998</v>
      </c>
      <c r="D105">
        <v>0.21776264894651801</v>
      </c>
      <c r="G105">
        <v>0.20111965000000001</v>
      </c>
      <c r="H105">
        <f t="shared" si="2"/>
        <v>1.570915076090125E-2</v>
      </c>
      <c r="J105">
        <f t="shared" si="3"/>
        <v>0.38836823249050834</v>
      </c>
    </row>
    <row r="106" spans="1:10" x14ac:dyDescent="0.3">
      <c r="A106">
        <v>2</v>
      </c>
      <c r="B106">
        <v>1938</v>
      </c>
      <c r="C106">
        <v>0.35009699999999999</v>
      </c>
      <c r="D106">
        <v>0.216283846917349</v>
      </c>
      <c r="G106">
        <v>0.19620601999999998</v>
      </c>
      <c r="H106">
        <f t="shared" si="2"/>
        <v>1.7905959937920986E-2</v>
      </c>
      <c r="J106">
        <f t="shared" si="3"/>
        <v>0.46512850095217467</v>
      </c>
    </row>
    <row r="107" spans="1:10" x14ac:dyDescent="0.3">
      <c r="A107">
        <v>2</v>
      </c>
      <c r="B107">
        <v>1939</v>
      </c>
      <c r="C107">
        <v>0.32150054</v>
      </c>
      <c r="D107">
        <v>0.215132701393486</v>
      </c>
      <c r="G107">
        <v>0.21181498999999998</v>
      </c>
      <c r="H107">
        <f t="shared" si="2"/>
        <v>1.1314117089821409E-2</v>
      </c>
      <c r="J107">
        <f t="shared" si="3"/>
        <v>0.25217805210342709</v>
      </c>
    </row>
    <row r="108" spans="1:10" x14ac:dyDescent="0.3">
      <c r="A108">
        <v>2</v>
      </c>
      <c r="B108">
        <v>1940</v>
      </c>
      <c r="C108">
        <v>0.43823355000000003</v>
      </c>
      <c r="D108">
        <v>0.21430921237481401</v>
      </c>
      <c r="G108">
        <v>0.23577104999999998</v>
      </c>
      <c r="H108">
        <f t="shared" si="2"/>
        <v>5.01421089808783E-2</v>
      </c>
      <c r="J108">
        <f t="shared" si="3"/>
        <v>0.9020313698806528</v>
      </c>
    </row>
    <row r="109" spans="1:10" x14ac:dyDescent="0.3">
      <c r="A109">
        <v>2</v>
      </c>
      <c r="B109">
        <v>1941</v>
      </c>
      <c r="C109">
        <v>0.40042704000000001</v>
      </c>
      <c r="D109">
        <v>0.21381337986144899</v>
      </c>
      <c r="G109">
        <v>0.40076646999999999</v>
      </c>
      <c r="H109">
        <f t="shared" si="2"/>
        <v>3.4824658150306623E-2</v>
      </c>
      <c r="J109">
        <f t="shared" si="3"/>
        <v>0.21682237808625782</v>
      </c>
    </row>
    <row r="110" spans="1:10" x14ac:dyDescent="0.3">
      <c r="A110">
        <v>2</v>
      </c>
      <c r="B110">
        <v>1942</v>
      </c>
      <c r="C110">
        <v>0.36370382000000001</v>
      </c>
      <c r="D110">
        <v>0.21364520385327501</v>
      </c>
      <c r="G110">
        <v>0.39323698000000007</v>
      </c>
      <c r="H110">
        <f t="shared" si="2"/>
        <v>2.2517588279870156E-2</v>
      </c>
      <c r="J110">
        <f t="shared" si="3"/>
        <v>0.14561736558396629</v>
      </c>
    </row>
    <row r="111" spans="1:10" x14ac:dyDescent="0.3">
      <c r="A111">
        <v>2</v>
      </c>
      <c r="B111">
        <v>1943</v>
      </c>
      <c r="C111">
        <v>0.36871934000000001</v>
      </c>
      <c r="D111">
        <v>0.213804684350407</v>
      </c>
      <c r="G111">
        <v>0.41200937000000004</v>
      </c>
      <c r="H111">
        <f t="shared" si="2"/>
        <v>2.3998550535031977E-2</v>
      </c>
      <c r="J111">
        <f t="shared" si="3"/>
        <v>0.14137441669639786</v>
      </c>
    </row>
    <row r="112" spans="1:10" x14ac:dyDescent="0.3">
      <c r="A112">
        <v>2</v>
      </c>
      <c r="B112">
        <v>1944</v>
      </c>
      <c r="C112">
        <v>0.50640289999999999</v>
      </c>
      <c r="D112">
        <v>0.21429182135261701</v>
      </c>
      <c r="G112">
        <v>0.39719992000000004</v>
      </c>
      <c r="H112">
        <f t="shared" si="2"/>
        <v>8.5328882268537548E-2</v>
      </c>
      <c r="J112">
        <f t="shared" si="3"/>
        <v>0.54085114330465534</v>
      </c>
    </row>
    <row r="113" spans="1:10" x14ac:dyDescent="0.3">
      <c r="A113">
        <v>2</v>
      </c>
      <c r="B113">
        <v>1945</v>
      </c>
      <c r="C113">
        <v>0.40538610000000003</v>
      </c>
      <c r="D113">
        <v>0.21510661486013299</v>
      </c>
      <c r="G113">
        <v>0.40074251999999999</v>
      </c>
      <c r="H113">
        <f t="shared" si="2"/>
        <v>3.620628246509288E-2</v>
      </c>
      <c r="J113">
        <f t="shared" si="3"/>
        <v>0.22545147738000604</v>
      </c>
    </row>
    <row r="114" spans="1:10" x14ac:dyDescent="0.3">
      <c r="A114">
        <v>2</v>
      </c>
      <c r="B114">
        <v>1946</v>
      </c>
      <c r="C114">
        <v>0.24348313999999999</v>
      </c>
      <c r="D114">
        <v>0.21624906487295401</v>
      </c>
      <c r="G114">
        <v>0.29427287000000002</v>
      </c>
      <c r="H114">
        <f t="shared" si="2"/>
        <v>7.4169484802558453E-4</v>
      </c>
      <c r="J114">
        <f t="shared" si="3"/>
        <v>8.5649496162340018E-3</v>
      </c>
    </row>
    <row r="115" spans="1:10" x14ac:dyDescent="0.3">
      <c r="A115">
        <v>2</v>
      </c>
      <c r="B115">
        <v>1947</v>
      </c>
      <c r="C115">
        <v>0.27109214999999998</v>
      </c>
      <c r="D115">
        <v>0.217719171390967</v>
      </c>
      <c r="G115">
        <v>0.28116972000000001</v>
      </c>
      <c r="H115">
        <f t="shared" si="2"/>
        <v>2.8486748456002919E-3</v>
      </c>
      <c r="J115">
        <f t="shared" si="3"/>
        <v>3.6033444897590791E-2</v>
      </c>
    </row>
    <row r="116" spans="1:10" x14ac:dyDescent="0.3">
      <c r="A116">
        <v>2</v>
      </c>
      <c r="B116">
        <v>1948</v>
      </c>
      <c r="C116">
        <v>0.23763648000000001</v>
      </c>
      <c r="D116">
        <v>0.219516934414173</v>
      </c>
      <c r="G116">
        <v>0.26894422000000001</v>
      </c>
      <c r="H116">
        <f t="shared" si="2"/>
        <v>3.2831793223686318E-4</v>
      </c>
      <c r="J116">
        <f t="shared" si="3"/>
        <v>4.5391044209373869E-3</v>
      </c>
    </row>
    <row r="117" spans="1:10" x14ac:dyDescent="0.3">
      <c r="A117">
        <v>2</v>
      </c>
      <c r="B117">
        <v>1949</v>
      </c>
      <c r="C117">
        <v>0.21849552</v>
      </c>
      <c r="D117">
        <v>0.221642353942684</v>
      </c>
      <c r="G117">
        <v>0.22055050999999998</v>
      </c>
      <c r="H117">
        <f t="shared" si="2"/>
        <v>9.902563862828141E-6</v>
      </c>
      <c r="J117">
        <f t="shared" si="3"/>
        <v>2.0357831674587112E-4</v>
      </c>
    </row>
    <row r="118" spans="1:10" x14ac:dyDescent="0.3">
      <c r="A118">
        <v>2</v>
      </c>
      <c r="B118">
        <v>1950</v>
      </c>
      <c r="C118">
        <v>0.13567593999999999</v>
      </c>
      <c r="D118">
        <v>0.22409542997627299</v>
      </c>
      <c r="G118">
        <v>0.21207035199999999</v>
      </c>
      <c r="H118">
        <f t="shared" si="2"/>
        <v>7.8180062076642406E-3</v>
      </c>
      <c r="J118">
        <f t="shared" si="3"/>
        <v>0.1738345495149162</v>
      </c>
    </row>
    <row r="119" spans="1:10" x14ac:dyDescent="0.3">
      <c r="A119">
        <v>2</v>
      </c>
      <c r="B119">
        <v>1951</v>
      </c>
      <c r="C119">
        <v>0.30114380000000002</v>
      </c>
      <c r="D119">
        <v>0.226876162515281</v>
      </c>
      <c r="G119">
        <v>0.17839253999999999</v>
      </c>
      <c r="H119">
        <f t="shared" si="2"/>
        <v>5.5156819775616407E-3</v>
      </c>
      <c r="J119">
        <f t="shared" si="3"/>
        <v>0.17331886624238921</v>
      </c>
    </row>
    <row r="120" spans="1:10" x14ac:dyDescent="0.3">
      <c r="A120">
        <v>2</v>
      </c>
      <c r="B120">
        <v>1952</v>
      </c>
      <c r="C120">
        <v>0.3776523</v>
      </c>
      <c r="D120">
        <v>0.22998455155936801</v>
      </c>
      <c r="G120">
        <v>0.19658106999999997</v>
      </c>
      <c r="H120">
        <f t="shared" si="2"/>
        <v>2.1805763929525771E-2</v>
      </c>
      <c r="J120">
        <f t="shared" si="3"/>
        <v>0.56427124167595599</v>
      </c>
    </row>
    <row r="121" spans="1:10" x14ac:dyDescent="0.3">
      <c r="A121">
        <v>2</v>
      </c>
      <c r="B121">
        <v>1953</v>
      </c>
      <c r="C121">
        <v>0.4399285</v>
      </c>
      <c r="D121">
        <v>0.233420597108874</v>
      </c>
      <c r="G121">
        <v>0.19632071000000001</v>
      </c>
      <c r="H121">
        <f t="shared" si="2"/>
        <v>4.2645513956490723E-2</v>
      </c>
      <c r="J121">
        <f t="shared" si="3"/>
        <v>1.1064737642511475</v>
      </c>
    </row>
    <row r="122" spans="1:10" x14ac:dyDescent="0.3">
      <c r="A122">
        <v>2</v>
      </c>
      <c r="B122">
        <v>1954</v>
      </c>
      <c r="C122">
        <v>0.24554751999999999</v>
      </c>
      <c r="D122">
        <v>0.23718429916345901</v>
      </c>
      <c r="G122">
        <v>0.18350500999999997</v>
      </c>
      <c r="H122">
        <f t="shared" si="2"/>
        <v>6.9943462760753211E-5</v>
      </c>
      <c r="J122">
        <f t="shared" si="3"/>
        <v>2.0770706935546758E-3</v>
      </c>
    </row>
    <row r="123" spans="1:10" x14ac:dyDescent="0.3">
      <c r="A123">
        <v>2</v>
      </c>
      <c r="B123">
        <v>1955</v>
      </c>
      <c r="C123">
        <v>0.16498779999999999</v>
      </c>
      <c r="D123">
        <v>0.241275657723235</v>
      </c>
      <c r="G123">
        <v>0.17424004999999998</v>
      </c>
      <c r="H123">
        <f t="shared" si="2"/>
        <v>5.8198372360005485E-3</v>
      </c>
      <c r="J123">
        <f t="shared" si="3"/>
        <v>0.19169680067864367</v>
      </c>
    </row>
    <row r="124" spans="1:10" x14ac:dyDescent="0.3">
      <c r="A124">
        <v>2</v>
      </c>
      <c r="B124">
        <v>1956</v>
      </c>
      <c r="C124">
        <v>9.9132129999999999E-2</v>
      </c>
      <c r="D124">
        <v>0.245694672788317</v>
      </c>
      <c r="G124">
        <v>0.15192007599999999</v>
      </c>
      <c r="H124">
        <f t="shared" si="2"/>
        <v>2.1480578948577248E-2</v>
      </c>
      <c r="J124">
        <f t="shared" si="3"/>
        <v>0.93071270919447624</v>
      </c>
    </row>
    <row r="125" spans="1:10" x14ac:dyDescent="0.3">
      <c r="A125">
        <v>2</v>
      </c>
      <c r="B125">
        <v>1957</v>
      </c>
      <c r="C125">
        <v>0.32696282999999998</v>
      </c>
      <c r="D125">
        <v>0.25044134435870502</v>
      </c>
      <c r="G125">
        <v>0.13046738999999996</v>
      </c>
      <c r="H125">
        <f t="shared" si="2"/>
        <v>5.8555377647509111E-3</v>
      </c>
      <c r="J125">
        <f t="shared" si="3"/>
        <v>0.34400348114691348</v>
      </c>
    </row>
    <row r="126" spans="1:10" x14ac:dyDescent="0.3">
      <c r="A126">
        <v>2</v>
      </c>
      <c r="B126">
        <v>1958</v>
      </c>
      <c r="C126">
        <v>0.3446652</v>
      </c>
      <c r="D126">
        <v>0.25551567243428502</v>
      </c>
      <c r="G126">
        <v>0.13088402999999998</v>
      </c>
      <c r="H126">
        <f t="shared" si="2"/>
        <v>7.9476382651901753E-3</v>
      </c>
      <c r="J126">
        <f t="shared" si="3"/>
        <v>0.46394315829341504</v>
      </c>
    </row>
    <row r="127" spans="1:10" x14ac:dyDescent="0.3">
      <c r="A127">
        <v>2</v>
      </c>
      <c r="B127">
        <v>1959</v>
      </c>
      <c r="C127">
        <v>0.31429294000000002</v>
      </c>
      <c r="D127">
        <v>0.26091765701505598</v>
      </c>
      <c r="G127">
        <v>0.12471783000000003</v>
      </c>
      <c r="H127">
        <f t="shared" si="2"/>
        <v>2.8489208337228568E-3</v>
      </c>
      <c r="J127">
        <f t="shared" si="3"/>
        <v>0.1831569021797764</v>
      </c>
    </row>
    <row r="128" spans="1:10" x14ac:dyDescent="0.3">
      <c r="A128">
        <v>2</v>
      </c>
      <c r="B128">
        <v>1960</v>
      </c>
      <c r="C128">
        <v>0.24683817</v>
      </c>
      <c r="D128">
        <v>0.26664729810113302</v>
      </c>
      <c r="G128">
        <v>0.11735596999999998</v>
      </c>
      <c r="H128">
        <f t="shared" si="2"/>
        <v>3.9240155612709822E-4</v>
      </c>
      <c r="J128">
        <f t="shared" si="3"/>
        <v>2.8491830111194515E-2</v>
      </c>
    </row>
    <row r="129" spans="1:10" x14ac:dyDescent="0.3">
      <c r="A129">
        <v>2</v>
      </c>
      <c r="B129">
        <v>1961</v>
      </c>
      <c r="C129">
        <v>0.34229797000000001</v>
      </c>
      <c r="D129">
        <v>0.272704595692289</v>
      </c>
      <c r="G129">
        <v>0.10156016000000001</v>
      </c>
      <c r="H129">
        <f t="shared" si="2"/>
        <v>4.843237747533171E-3</v>
      </c>
      <c r="J129">
        <f t="shared" si="3"/>
        <v>0.46955777457999459</v>
      </c>
    </row>
    <row r="130" spans="1:10" x14ac:dyDescent="0.3">
      <c r="A130">
        <v>2</v>
      </c>
      <c r="B130">
        <v>1962</v>
      </c>
      <c r="C130">
        <v>0.29825502999999998</v>
      </c>
      <c r="D130">
        <v>0.27908954978886402</v>
      </c>
      <c r="G130">
        <v>0.10653303000000003</v>
      </c>
      <c r="H130">
        <f t="shared" ref="H130:H193" si="4">(C130-D130)^2</f>
        <v>3.6731563172344385E-4</v>
      </c>
      <c r="J130">
        <f t="shared" si="3"/>
        <v>3.2364645331580101E-2</v>
      </c>
    </row>
    <row r="131" spans="1:10" x14ac:dyDescent="0.3">
      <c r="A131">
        <v>2</v>
      </c>
      <c r="B131">
        <v>1963</v>
      </c>
      <c r="C131">
        <v>0.32548714000000001</v>
      </c>
      <c r="D131">
        <v>0.28580216039051698</v>
      </c>
      <c r="G131">
        <v>0.10753833000000002</v>
      </c>
      <c r="H131">
        <f t="shared" si="4"/>
        <v>1.5748976066050837E-3</v>
      </c>
      <c r="J131">
        <f t="shared" ref="J131:J194" si="5">H131/(G131^2)</f>
        <v>0.13618389372557885</v>
      </c>
    </row>
    <row r="132" spans="1:10" x14ac:dyDescent="0.3">
      <c r="A132">
        <v>2</v>
      </c>
      <c r="B132">
        <v>1964</v>
      </c>
      <c r="C132">
        <v>5.6436214999999998E-2</v>
      </c>
      <c r="D132">
        <v>0.29284242749758899</v>
      </c>
      <c r="G132">
        <v>8.726594E-2</v>
      </c>
      <c r="H132">
        <f t="shared" si="4"/>
        <v>5.5887897307455192E-2</v>
      </c>
      <c r="J132">
        <f t="shared" si="5"/>
        <v>7.3388536647336249</v>
      </c>
    </row>
    <row r="133" spans="1:10" x14ac:dyDescent="0.3">
      <c r="A133">
        <v>2</v>
      </c>
      <c r="B133">
        <v>1965</v>
      </c>
      <c r="C133">
        <v>0.15787726999999999</v>
      </c>
      <c r="D133">
        <v>0.30021035110973998</v>
      </c>
      <c r="G133">
        <v>9.838044E-2</v>
      </c>
      <c r="H133">
        <f t="shared" si="4"/>
        <v>2.0258705978191825E-2</v>
      </c>
      <c r="J133">
        <f t="shared" si="5"/>
        <v>2.0931202544812502</v>
      </c>
    </row>
    <row r="134" spans="1:10" x14ac:dyDescent="0.3">
      <c r="A134">
        <v>2</v>
      </c>
      <c r="B134">
        <v>1966</v>
      </c>
      <c r="C134">
        <v>0.21340013999999999</v>
      </c>
      <c r="D134">
        <v>0.30790593122719601</v>
      </c>
      <c r="G134">
        <v>9.9023140000000037E-2</v>
      </c>
      <c r="H134">
        <f t="shared" si="4"/>
        <v>8.9313445754783602E-3</v>
      </c>
      <c r="J134">
        <f t="shared" si="5"/>
        <v>0.91084285897510231</v>
      </c>
    </row>
    <row r="135" spans="1:10" x14ac:dyDescent="0.3">
      <c r="A135">
        <v>2</v>
      </c>
      <c r="B135">
        <v>1967</v>
      </c>
      <c r="C135">
        <v>0.24475846000000001</v>
      </c>
      <c r="D135">
        <v>0.31592916784973102</v>
      </c>
      <c r="G135">
        <v>8.6234999999999978E-2</v>
      </c>
      <c r="H135">
        <f t="shared" si="4"/>
        <v>5.0652696558317629E-3</v>
      </c>
      <c r="J135">
        <f t="shared" si="5"/>
        <v>0.68113851019140126</v>
      </c>
    </row>
    <row r="136" spans="1:10" x14ac:dyDescent="0.3">
      <c r="A136">
        <v>2</v>
      </c>
      <c r="B136">
        <v>1968</v>
      </c>
      <c r="C136">
        <v>0.19365019</v>
      </c>
      <c r="D136">
        <v>0.32428006097768503</v>
      </c>
      <c r="G136">
        <v>8.9255870000000015E-2</v>
      </c>
      <c r="H136">
        <f t="shared" si="4"/>
        <v>1.7064163191646636E-2</v>
      </c>
      <c r="J136">
        <f t="shared" si="5"/>
        <v>2.1419603176210487</v>
      </c>
    </row>
    <row r="137" spans="1:10" x14ac:dyDescent="0.3">
      <c r="A137">
        <v>2</v>
      </c>
      <c r="B137">
        <v>1969</v>
      </c>
      <c r="C137">
        <v>0.33091152000000001</v>
      </c>
      <c r="D137">
        <v>0.33295861061082999</v>
      </c>
      <c r="G137">
        <v>8.1010250000000006E-2</v>
      </c>
      <c r="H137">
        <f t="shared" si="4"/>
        <v>4.1905799689482249E-6</v>
      </c>
      <c r="J137">
        <f t="shared" si="5"/>
        <v>6.3854893939137584E-4</v>
      </c>
    </row>
    <row r="138" spans="1:10" x14ac:dyDescent="0.3">
      <c r="A138">
        <v>2</v>
      </c>
      <c r="B138">
        <v>1970</v>
      </c>
      <c r="C138">
        <v>0.27723365999999999</v>
      </c>
      <c r="D138">
        <v>0.34196481674916801</v>
      </c>
      <c r="G138">
        <v>8.1977119999999987E-2</v>
      </c>
      <c r="H138">
        <f t="shared" si="4"/>
        <v>4.1901226540853598E-3</v>
      </c>
      <c r="J138">
        <f t="shared" si="5"/>
        <v>0.62350712759486737</v>
      </c>
    </row>
    <row r="139" spans="1:10" x14ac:dyDescent="0.3">
      <c r="A139">
        <v>2</v>
      </c>
      <c r="B139">
        <v>1971</v>
      </c>
      <c r="C139">
        <v>0.15640870000000001</v>
      </c>
      <c r="D139">
        <v>0.35129867939281201</v>
      </c>
      <c r="G139">
        <v>7.7166373999999996E-2</v>
      </c>
      <c r="H139">
        <f t="shared" si="4"/>
        <v>3.7982104067730685E-2</v>
      </c>
      <c r="J139">
        <f t="shared" si="5"/>
        <v>6.3785627507655889</v>
      </c>
    </row>
    <row r="140" spans="1:10" x14ac:dyDescent="0.3">
      <c r="A140">
        <v>2</v>
      </c>
      <c r="B140">
        <v>1972</v>
      </c>
      <c r="C140">
        <v>0.26850644000000001</v>
      </c>
      <c r="D140">
        <v>0.36096019854153299</v>
      </c>
      <c r="G140">
        <v>7.5784360000000023E-2</v>
      </c>
      <c r="H140">
        <f t="shared" si="4"/>
        <v>8.5476974684560829E-3</v>
      </c>
      <c r="J140">
        <f t="shared" si="5"/>
        <v>1.4882982392298183</v>
      </c>
    </row>
    <row r="141" spans="1:10" x14ac:dyDescent="0.3">
      <c r="A141">
        <v>2</v>
      </c>
      <c r="B141">
        <v>1973</v>
      </c>
      <c r="C141">
        <v>0.4122479</v>
      </c>
      <c r="D141">
        <v>0.37094937419556101</v>
      </c>
      <c r="G141">
        <v>7.2942280000000026E-2</v>
      </c>
      <c r="H141">
        <f t="shared" si="4"/>
        <v>1.7055682336199131E-3</v>
      </c>
      <c r="J141">
        <f t="shared" si="5"/>
        <v>0.32056081254919705</v>
      </c>
    </row>
    <row r="142" spans="1:10" x14ac:dyDescent="0.3">
      <c r="A142">
        <v>2</v>
      </c>
      <c r="B142">
        <v>1974</v>
      </c>
      <c r="C142">
        <v>0.18977118000000001</v>
      </c>
      <c r="D142">
        <v>0.381266206354894</v>
      </c>
      <c r="G142">
        <v>7.539816000000002E-2</v>
      </c>
      <c r="H142">
        <f t="shared" si="4"/>
        <v>3.6670345118661546E-2</v>
      </c>
      <c r="J142">
        <f t="shared" si="5"/>
        <v>6.4505018206108318</v>
      </c>
    </row>
    <row r="143" spans="1:10" x14ac:dyDescent="0.3">
      <c r="A143">
        <v>2</v>
      </c>
      <c r="B143">
        <v>1975</v>
      </c>
      <c r="C143">
        <v>0.25154352000000002</v>
      </c>
      <c r="D143">
        <v>0.391910695019419</v>
      </c>
      <c r="G143">
        <v>8.110176999999999E-2</v>
      </c>
      <c r="H143">
        <f t="shared" si="4"/>
        <v>1.9702943822932199E-2</v>
      </c>
      <c r="J143">
        <f t="shared" si="5"/>
        <v>2.9955077945257664</v>
      </c>
    </row>
    <row r="144" spans="1:10" x14ac:dyDescent="0.3">
      <c r="A144">
        <v>2</v>
      </c>
      <c r="B144">
        <v>1976</v>
      </c>
      <c r="C144">
        <v>0.14646085</v>
      </c>
      <c r="D144">
        <v>0.40288284018924903</v>
      </c>
      <c r="G144">
        <v>8.0047466000000012E-2</v>
      </c>
      <c r="H144">
        <f t="shared" si="4"/>
        <v>6.5752237052615334E-2</v>
      </c>
      <c r="J144">
        <f t="shared" si="5"/>
        <v>10.261606491687701</v>
      </c>
    </row>
    <row r="145" spans="1:10" x14ac:dyDescent="0.3">
      <c r="A145">
        <v>2</v>
      </c>
      <c r="B145">
        <v>1977</v>
      </c>
      <c r="C145">
        <v>0.46538624000000001</v>
      </c>
      <c r="D145">
        <v>0.41418264186415799</v>
      </c>
      <c r="G145">
        <v>8.6063669999999981E-2</v>
      </c>
      <c r="H145">
        <f t="shared" si="4"/>
        <v>2.6218084620568045E-3</v>
      </c>
      <c r="J145">
        <f t="shared" si="5"/>
        <v>0.35396574679301829</v>
      </c>
    </row>
    <row r="146" spans="1:10" x14ac:dyDescent="0.3">
      <c r="A146">
        <v>2</v>
      </c>
      <c r="B146">
        <v>1978</v>
      </c>
      <c r="C146">
        <v>0.36755369999999998</v>
      </c>
      <c r="D146">
        <v>0.42581010004437297</v>
      </c>
      <c r="G146">
        <v>7.9705179999999987E-2</v>
      </c>
      <c r="H146">
        <f t="shared" si="4"/>
        <v>3.3938081461300216E-3</v>
      </c>
      <c r="J146">
        <f t="shared" si="5"/>
        <v>0.53421268222865226</v>
      </c>
    </row>
    <row r="147" spans="1:10" x14ac:dyDescent="0.3">
      <c r="A147">
        <v>2</v>
      </c>
      <c r="B147">
        <v>1979</v>
      </c>
      <c r="C147">
        <v>0.45315588000000001</v>
      </c>
      <c r="D147">
        <v>0.43776521472977897</v>
      </c>
      <c r="G147">
        <v>5.6999040000000001E-2</v>
      </c>
      <c r="H147">
        <f t="shared" si="4"/>
        <v>2.3687257745998801E-4</v>
      </c>
      <c r="J147">
        <f t="shared" si="5"/>
        <v>7.2908758549501684E-2</v>
      </c>
    </row>
    <row r="148" spans="1:10" x14ac:dyDescent="0.3">
      <c r="A148">
        <v>2</v>
      </c>
      <c r="B148">
        <v>1980</v>
      </c>
      <c r="C148">
        <v>0.55836980000000003</v>
      </c>
      <c r="D148">
        <v>0.450047985920491</v>
      </c>
      <c r="G148">
        <v>6.6536150000000016E-2</v>
      </c>
      <c r="H148">
        <f t="shared" si="4"/>
        <v>1.173361540547572E-2</v>
      </c>
      <c r="J148">
        <f t="shared" si="5"/>
        <v>2.650431070556182</v>
      </c>
    </row>
    <row r="149" spans="1:10" x14ac:dyDescent="0.3">
      <c r="A149">
        <v>2</v>
      </c>
      <c r="B149">
        <v>1981</v>
      </c>
      <c r="C149">
        <v>0.61230980000000002</v>
      </c>
      <c r="D149">
        <v>0.46265841361639498</v>
      </c>
      <c r="G149">
        <v>6.1241569999999967E-2</v>
      </c>
      <c r="H149">
        <f t="shared" si="4"/>
        <v>2.2395537446535045E-2</v>
      </c>
      <c r="J149">
        <f t="shared" si="5"/>
        <v>5.9712995409082668</v>
      </c>
    </row>
    <row r="150" spans="1:10" x14ac:dyDescent="0.3">
      <c r="A150">
        <v>2</v>
      </c>
      <c r="B150">
        <v>1982</v>
      </c>
      <c r="C150">
        <v>0.39656603000000001</v>
      </c>
      <c r="D150">
        <v>0.47559649781760499</v>
      </c>
      <c r="G150">
        <v>7.8753829999999969E-2</v>
      </c>
      <c r="H150">
        <f t="shared" si="4"/>
        <v>6.2458148434694962E-3</v>
      </c>
      <c r="J150">
        <f t="shared" si="5"/>
        <v>1.007037719666442</v>
      </c>
    </row>
    <row r="151" spans="1:10" x14ac:dyDescent="0.3">
      <c r="A151">
        <v>2</v>
      </c>
      <c r="B151">
        <v>1983</v>
      </c>
      <c r="C151">
        <v>0.58610759999999995</v>
      </c>
      <c r="D151">
        <v>0.48886223852400601</v>
      </c>
      <c r="G151">
        <v>7.1531040000000101E-2</v>
      </c>
      <c r="H151">
        <f t="shared" si="4"/>
        <v>9.4566603285967266E-3</v>
      </c>
      <c r="J151">
        <f t="shared" si="5"/>
        <v>1.8481989164060482</v>
      </c>
    </row>
    <row r="152" spans="1:10" x14ac:dyDescent="0.3">
      <c r="A152">
        <v>2</v>
      </c>
      <c r="B152">
        <v>1984</v>
      </c>
      <c r="C152">
        <v>0.41029125</v>
      </c>
      <c r="D152">
        <v>0.50245563573548602</v>
      </c>
      <c r="G152">
        <v>7.2906699999999991E-2</v>
      </c>
      <c r="H152">
        <f t="shared" si="4"/>
        <v>8.4942739979994592E-3</v>
      </c>
      <c r="J152">
        <f t="shared" si="5"/>
        <v>1.5980537541274706</v>
      </c>
    </row>
    <row r="153" spans="1:10" x14ac:dyDescent="0.3">
      <c r="A153">
        <v>2</v>
      </c>
      <c r="B153">
        <v>1985</v>
      </c>
      <c r="C153">
        <v>0.41202748</v>
      </c>
      <c r="D153">
        <v>0.51637668945238602</v>
      </c>
      <c r="G153">
        <v>6.8132599999999988E-2</v>
      </c>
      <c r="H153">
        <f t="shared" si="4"/>
        <v>1.0888757513337927E-2</v>
      </c>
      <c r="J153">
        <f t="shared" si="5"/>
        <v>2.3456780385742881</v>
      </c>
    </row>
    <row r="154" spans="1:10" x14ac:dyDescent="0.3">
      <c r="A154">
        <v>2</v>
      </c>
      <c r="B154">
        <v>1986</v>
      </c>
      <c r="C154">
        <v>0.45798472000000001</v>
      </c>
      <c r="D154">
        <v>0.53062539967447697</v>
      </c>
      <c r="G154">
        <v>6.2557950000000029E-2</v>
      </c>
      <c r="H154">
        <f t="shared" si="4"/>
        <v>5.2766683435699702E-3</v>
      </c>
      <c r="J154">
        <f t="shared" si="5"/>
        <v>1.3483256018026242</v>
      </c>
    </row>
    <row r="155" spans="1:10" x14ac:dyDescent="0.3">
      <c r="A155">
        <v>2</v>
      </c>
      <c r="B155">
        <v>1987</v>
      </c>
      <c r="C155">
        <v>0.60532414999999995</v>
      </c>
      <c r="D155">
        <v>0.54520176640187401</v>
      </c>
      <c r="G155">
        <v>6.168169999999995E-2</v>
      </c>
      <c r="H155">
        <f t="shared" si="4"/>
        <v>3.6147010095202029E-3</v>
      </c>
      <c r="J155">
        <f t="shared" si="5"/>
        <v>0.95007898276775105</v>
      </c>
    </row>
    <row r="156" spans="1:10" x14ac:dyDescent="0.3">
      <c r="A156">
        <v>2</v>
      </c>
      <c r="B156">
        <v>1988</v>
      </c>
      <c r="C156">
        <v>0.64444950000000001</v>
      </c>
      <c r="D156">
        <v>0.560105789634462</v>
      </c>
      <c r="G156">
        <v>7.0232859999999953E-2</v>
      </c>
      <c r="H156">
        <f t="shared" si="4"/>
        <v>7.1138614782257628E-3</v>
      </c>
      <c r="J156">
        <f t="shared" si="5"/>
        <v>1.4421973604093212</v>
      </c>
    </row>
    <row r="157" spans="1:10" x14ac:dyDescent="0.3">
      <c r="A157">
        <v>2</v>
      </c>
      <c r="B157">
        <v>1989</v>
      </c>
      <c r="C157">
        <v>0.54154809999999998</v>
      </c>
      <c r="D157">
        <v>0.57533746937212904</v>
      </c>
      <c r="G157">
        <v>6.9503699999999946E-2</v>
      </c>
      <c r="H157">
        <f t="shared" si="4"/>
        <v>1.1417214825661737E-3</v>
      </c>
      <c r="J157">
        <f t="shared" si="5"/>
        <v>0.23634385956910131</v>
      </c>
    </row>
    <row r="158" spans="1:10" x14ac:dyDescent="0.3">
      <c r="A158">
        <v>2</v>
      </c>
      <c r="B158">
        <v>1990</v>
      </c>
      <c r="C158">
        <v>0.72288010000000003</v>
      </c>
      <c r="D158">
        <v>0.59089680561510205</v>
      </c>
      <c r="G158">
        <v>7.2027339999999995E-2</v>
      </c>
      <c r="H158">
        <f t="shared" si="4"/>
        <v>1.7419589996690642E-2</v>
      </c>
      <c r="J158">
        <f t="shared" si="5"/>
        <v>3.3577099377253026</v>
      </c>
    </row>
    <row r="159" spans="1:10" x14ac:dyDescent="0.3">
      <c r="A159">
        <v>2</v>
      </c>
      <c r="B159">
        <v>1991</v>
      </c>
      <c r="C159">
        <v>0.70119430000000005</v>
      </c>
      <c r="D159">
        <v>0.60678379836338003</v>
      </c>
      <c r="G159">
        <v>6.9720759999999937E-2</v>
      </c>
      <c r="H159">
        <f t="shared" si="4"/>
        <v>8.9133428192782298E-3</v>
      </c>
      <c r="J159">
        <f t="shared" si="5"/>
        <v>1.8336497572715031</v>
      </c>
    </row>
    <row r="160" spans="1:10" x14ac:dyDescent="0.3">
      <c r="A160">
        <v>2</v>
      </c>
      <c r="B160">
        <v>1992</v>
      </c>
      <c r="C160">
        <v>0.48719456999999999</v>
      </c>
      <c r="D160">
        <v>0.62299844761696399</v>
      </c>
      <c r="G160">
        <v>6.8029430000000002E-2</v>
      </c>
      <c r="H160">
        <f t="shared" si="4"/>
        <v>1.8442693175803333E-2</v>
      </c>
      <c r="J160">
        <f t="shared" si="5"/>
        <v>3.985021573341275</v>
      </c>
    </row>
    <row r="161" spans="1:10" x14ac:dyDescent="0.3">
      <c r="A161">
        <v>2</v>
      </c>
      <c r="B161">
        <v>1993</v>
      </c>
      <c r="C161">
        <v>0.52800493999999998</v>
      </c>
      <c r="D161">
        <v>0.63954075337562699</v>
      </c>
      <c r="G161">
        <v>7.4980899999999961E-2</v>
      </c>
      <c r="H161">
        <f t="shared" si="4"/>
        <v>1.2440237665362697E-2</v>
      </c>
      <c r="J161">
        <f t="shared" si="5"/>
        <v>2.2127246781051362</v>
      </c>
    </row>
    <row r="162" spans="1:10" x14ac:dyDescent="0.3">
      <c r="A162">
        <v>2</v>
      </c>
      <c r="B162">
        <v>1994</v>
      </c>
      <c r="C162">
        <v>0.59584755</v>
      </c>
      <c r="D162">
        <v>0.65641071563959397</v>
      </c>
      <c r="G162">
        <v>7.0273669999999955E-2</v>
      </c>
      <c r="H162">
        <f t="shared" si="4"/>
        <v>3.6678970322888949E-3</v>
      </c>
      <c r="J162">
        <f t="shared" si="5"/>
        <v>0.74273153828552152</v>
      </c>
    </row>
    <row r="163" spans="1:10" x14ac:dyDescent="0.3">
      <c r="A163">
        <v>2</v>
      </c>
      <c r="B163">
        <v>1995</v>
      </c>
      <c r="C163">
        <v>0.73916389999999998</v>
      </c>
      <c r="D163">
        <v>0.67360833440875401</v>
      </c>
      <c r="G163">
        <v>6.6420759999999968E-2</v>
      </c>
      <c r="H163">
        <f t="shared" si="4"/>
        <v>4.2975321799881535E-3</v>
      </c>
      <c r="J163">
        <f t="shared" si="5"/>
        <v>0.97411774832830533</v>
      </c>
    </row>
    <row r="164" spans="1:10" x14ac:dyDescent="0.3">
      <c r="A164">
        <v>2</v>
      </c>
      <c r="B164">
        <v>1996</v>
      </c>
      <c r="C164">
        <v>0.63898710000000003</v>
      </c>
      <c r="D164">
        <v>0.691133609683106</v>
      </c>
      <c r="G164">
        <v>6.7018750000000016E-2</v>
      </c>
      <c r="H164">
        <f t="shared" si="4"/>
        <v>2.7192584721302646E-3</v>
      </c>
      <c r="J164">
        <f t="shared" si="5"/>
        <v>0.60542150540308304</v>
      </c>
    </row>
    <row r="165" spans="1:10" x14ac:dyDescent="0.3">
      <c r="A165">
        <v>2</v>
      </c>
      <c r="B165">
        <v>1997</v>
      </c>
      <c r="C165">
        <v>0.78460629999999998</v>
      </c>
      <c r="D165">
        <v>0.70898654146276296</v>
      </c>
      <c r="G165">
        <v>6.4435360000000053E-2</v>
      </c>
      <c r="H165">
        <f t="shared" si="4"/>
        <v>5.7183478812300303E-3</v>
      </c>
      <c r="J165">
        <f t="shared" si="5"/>
        <v>1.3772794071211467</v>
      </c>
    </row>
    <row r="166" spans="1:10" x14ac:dyDescent="0.3">
      <c r="A166">
        <v>2</v>
      </c>
      <c r="B166">
        <v>1998</v>
      </c>
      <c r="C166">
        <v>0.93963945000000004</v>
      </c>
      <c r="D166">
        <v>0.72716712974772602</v>
      </c>
      <c r="G166">
        <v>6.8545859999999958E-2</v>
      </c>
      <c r="H166">
        <f t="shared" si="4"/>
        <v>4.5144486873384897E-2</v>
      </c>
      <c r="J166">
        <f t="shared" si="5"/>
        <v>9.6082050281365223</v>
      </c>
    </row>
    <row r="167" spans="1:10" x14ac:dyDescent="0.3">
      <c r="A167">
        <v>2</v>
      </c>
      <c r="B167">
        <v>1999</v>
      </c>
      <c r="C167">
        <v>0.68678269999999997</v>
      </c>
      <c r="D167">
        <v>0.74567537453788102</v>
      </c>
      <c r="G167">
        <v>6.3300429999999963E-2</v>
      </c>
      <c r="H167">
        <f t="shared" si="4"/>
        <v>3.4683471142247829E-3</v>
      </c>
      <c r="J167">
        <f t="shared" si="5"/>
        <v>0.86558402985889871</v>
      </c>
    </row>
    <row r="168" spans="1:10" x14ac:dyDescent="0.3">
      <c r="A168">
        <v>2</v>
      </c>
      <c r="B168">
        <v>2000</v>
      </c>
      <c r="C168">
        <v>0.69338250000000001</v>
      </c>
      <c r="D168">
        <v>0.76451127583322798</v>
      </c>
      <c r="G168">
        <v>6.5713839999999912E-2</v>
      </c>
      <c r="H168">
        <f t="shared" si="4"/>
        <v>5.0593027515335948E-3</v>
      </c>
      <c r="J168">
        <f t="shared" si="5"/>
        <v>1.1715935621734541</v>
      </c>
    </row>
    <row r="169" spans="1:10" x14ac:dyDescent="0.3">
      <c r="A169">
        <v>2</v>
      </c>
      <c r="B169">
        <v>2001</v>
      </c>
      <c r="C169">
        <v>0.8515781</v>
      </c>
      <c r="D169">
        <v>0.78367483363365398</v>
      </c>
      <c r="G169">
        <v>6.2424050000000064E-2</v>
      </c>
      <c r="H169">
        <f t="shared" si="4"/>
        <v>4.6108535832189391E-3</v>
      </c>
      <c r="J169">
        <f t="shared" si="5"/>
        <v>1.1832525469721078</v>
      </c>
    </row>
    <row r="170" spans="1:10" x14ac:dyDescent="0.3">
      <c r="A170">
        <v>2</v>
      </c>
      <c r="B170">
        <v>2002</v>
      </c>
      <c r="C170">
        <v>0.90576429999999997</v>
      </c>
      <c r="D170">
        <v>0.80316604793949797</v>
      </c>
      <c r="G170">
        <v>6.136929999999996E-2</v>
      </c>
      <c r="H170">
        <f t="shared" si="4"/>
        <v>1.0526401325870301E-2</v>
      </c>
      <c r="J170">
        <f t="shared" si="5"/>
        <v>2.7949727920889536</v>
      </c>
    </row>
    <row r="171" spans="1:10" x14ac:dyDescent="0.3">
      <c r="A171">
        <v>2</v>
      </c>
      <c r="B171">
        <v>2003</v>
      </c>
      <c r="C171">
        <v>0.90646789999999999</v>
      </c>
      <c r="D171">
        <v>0.82298491875053503</v>
      </c>
      <c r="G171">
        <v>6.5855100000000055E-2</v>
      </c>
      <c r="H171">
        <f t="shared" si="4"/>
        <v>6.9694081582985182E-3</v>
      </c>
      <c r="J171">
        <f t="shared" si="5"/>
        <v>1.6070044237441747</v>
      </c>
    </row>
    <row r="172" spans="1:10" x14ac:dyDescent="0.3">
      <c r="A172">
        <v>2</v>
      </c>
      <c r="B172">
        <v>2004</v>
      </c>
      <c r="C172">
        <v>0.82966846000000005</v>
      </c>
      <c r="D172">
        <v>0.84313144606687696</v>
      </c>
      <c r="G172">
        <v>6.6064800000000035E-2</v>
      </c>
      <c r="H172">
        <f t="shared" si="4"/>
        <v>1.8125199383692162E-4</v>
      </c>
      <c r="J172">
        <f t="shared" si="5"/>
        <v>4.1528146076284848E-2</v>
      </c>
    </row>
    <row r="173" spans="1:10" x14ac:dyDescent="0.3">
      <c r="A173">
        <v>2</v>
      </c>
      <c r="B173">
        <v>2005</v>
      </c>
      <c r="C173">
        <v>0.96916026</v>
      </c>
      <c r="D173">
        <v>0.86360562988841105</v>
      </c>
      <c r="G173">
        <v>6.2314439999999971E-2</v>
      </c>
      <c r="H173">
        <f t="shared" si="4"/>
        <v>1.1141779937994358E-2</v>
      </c>
      <c r="J173">
        <f t="shared" si="5"/>
        <v>2.8693080938859747</v>
      </c>
    </row>
    <row r="174" spans="1:10" x14ac:dyDescent="0.3">
      <c r="A174">
        <v>2</v>
      </c>
      <c r="B174">
        <v>2006</v>
      </c>
      <c r="C174">
        <v>0.93485045</v>
      </c>
      <c r="D174">
        <v>0.88440747021502297</v>
      </c>
      <c r="G174">
        <v>6.1159370000000046E-2</v>
      </c>
      <c r="H174">
        <f t="shared" si="4"/>
        <v>2.5444942095876008E-3</v>
      </c>
      <c r="J174">
        <f t="shared" si="5"/>
        <v>0.68026082379669439</v>
      </c>
    </row>
    <row r="175" spans="1:10" x14ac:dyDescent="0.3">
      <c r="A175">
        <v>2</v>
      </c>
      <c r="B175">
        <v>2007</v>
      </c>
      <c r="C175">
        <v>0.95399909999999999</v>
      </c>
      <c r="D175">
        <v>0.905536967047055</v>
      </c>
      <c r="G175">
        <v>6.0696299999999925E-2</v>
      </c>
      <c r="H175">
        <f t="shared" si="4"/>
        <v>2.3485783303489167E-3</v>
      </c>
      <c r="J175">
        <f t="shared" si="5"/>
        <v>0.63750062400816143</v>
      </c>
    </row>
    <row r="176" spans="1:10" x14ac:dyDescent="0.3">
      <c r="A176">
        <v>2</v>
      </c>
      <c r="B176">
        <v>2008</v>
      </c>
      <c r="C176">
        <v>0.82794760000000001</v>
      </c>
      <c r="D176">
        <v>0.92699412038427897</v>
      </c>
      <c r="G176">
        <v>6.598499999999996E-2</v>
      </c>
      <c r="H176">
        <f t="shared" si="4"/>
        <v>9.8102132002333888E-3</v>
      </c>
      <c r="J176">
        <f t="shared" si="5"/>
        <v>2.2531390974954419</v>
      </c>
    </row>
    <row r="177" spans="1:11" x14ac:dyDescent="0.3">
      <c r="A177">
        <v>2</v>
      </c>
      <c r="B177">
        <v>2009</v>
      </c>
      <c r="C177">
        <v>0.95907940000000003</v>
      </c>
      <c r="D177">
        <v>0.94877893022669402</v>
      </c>
      <c r="G177">
        <v>6.3052039999999976E-2</v>
      </c>
      <c r="H177">
        <f t="shared" si="4"/>
        <v>1.0609967755079074E-4</v>
      </c>
      <c r="J177">
        <f t="shared" si="5"/>
        <v>2.6687984654199706E-2</v>
      </c>
    </row>
    <row r="178" spans="1:11" x14ac:dyDescent="0.3">
      <c r="A178">
        <v>2</v>
      </c>
      <c r="B178">
        <v>2010</v>
      </c>
      <c r="C178">
        <v>1.0426692</v>
      </c>
      <c r="D178">
        <v>0.97089139657441503</v>
      </c>
      <c r="G178">
        <v>6.2591000000000063E-2</v>
      </c>
      <c r="H178">
        <f t="shared" si="4"/>
        <v>5.1520530646019117E-3</v>
      </c>
      <c r="J178">
        <f t="shared" si="5"/>
        <v>1.3150932450948567</v>
      </c>
    </row>
    <row r="179" spans="1:11" x14ac:dyDescent="0.3">
      <c r="A179">
        <v>2</v>
      </c>
      <c r="B179">
        <v>2011</v>
      </c>
      <c r="C179">
        <v>0.89999549999999995</v>
      </c>
      <c r="D179">
        <v>0.993331519427329</v>
      </c>
      <c r="G179">
        <v>6.339311000000003E-2</v>
      </c>
      <c r="H179">
        <f t="shared" si="4"/>
        <v>8.7116125225387472E-3</v>
      </c>
      <c r="J179">
        <f t="shared" si="5"/>
        <v>2.1677761500260915</v>
      </c>
    </row>
    <row r="180" spans="1:11" x14ac:dyDescent="0.3">
      <c r="A180">
        <v>2</v>
      </c>
      <c r="B180">
        <v>2012</v>
      </c>
      <c r="C180">
        <v>0.93990479999999998</v>
      </c>
      <c r="D180">
        <v>1.01609929878543</v>
      </c>
      <c r="G180">
        <v>6.5503599999999995E-2</v>
      </c>
      <c r="H180">
        <f t="shared" si="4"/>
        <v>5.8056016451629019E-3</v>
      </c>
      <c r="J180">
        <f t="shared" si="5"/>
        <v>1.3530595011401465</v>
      </c>
    </row>
    <row r="181" spans="1:11" x14ac:dyDescent="0.3">
      <c r="A181">
        <v>2</v>
      </c>
      <c r="B181">
        <v>2013</v>
      </c>
      <c r="C181">
        <v>0.98587309999999995</v>
      </c>
      <c r="D181">
        <v>1.0391947346488399</v>
      </c>
      <c r="G181">
        <v>7.0183000000000106E-2</v>
      </c>
      <c r="H181">
        <f t="shared" si="4"/>
        <v>2.8431967216243732E-3</v>
      </c>
      <c r="J181">
        <f t="shared" si="5"/>
        <v>0.57722223619136204</v>
      </c>
    </row>
    <row r="182" spans="1:11" x14ac:dyDescent="0.3">
      <c r="A182">
        <v>2</v>
      </c>
      <c r="B182">
        <v>2014</v>
      </c>
      <c r="C182">
        <v>1.0351694</v>
      </c>
      <c r="D182">
        <v>1.06261782701744</v>
      </c>
      <c r="G182">
        <v>6.7933499999999869E-2</v>
      </c>
      <c r="H182">
        <f t="shared" si="4"/>
        <v>7.5341614573172966E-4</v>
      </c>
      <c r="J182">
        <f t="shared" si="5"/>
        <v>0.16325516944832399</v>
      </c>
    </row>
    <row r="183" spans="1:11" x14ac:dyDescent="0.3">
      <c r="A183">
        <v>2</v>
      </c>
      <c r="B183">
        <v>2015</v>
      </c>
      <c r="C183">
        <v>1.1874121</v>
      </c>
      <c r="D183">
        <v>1.08636857589124</v>
      </c>
      <c r="G183">
        <v>6.7654600000000009E-2</v>
      </c>
      <c r="H183">
        <f t="shared" si="4"/>
        <v>1.0209793764317552E-2</v>
      </c>
      <c r="J183">
        <f t="shared" si="5"/>
        <v>2.230603134659348</v>
      </c>
    </row>
    <row r="184" spans="1:11" x14ac:dyDescent="0.3">
      <c r="A184">
        <v>3</v>
      </c>
      <c r="B184">
        <v>1925</v>
      </c>
      <c r="C184">
        <v>8.0155770000000001E-2</v>
      </c>
      <c r="D184">
        <v>0.18636561892526499</v>
      </c>
      <c r="G184">
        <v>0.22561889600000001</v>
      </c>
      <c r="H184">
        <f t="shared" si="4"/>
        <v>1.1280532008727612E-2</v>
      </c>
      <c r="J184">
        <f t="shared" si="5"/>
        <v>0.22160453442116393</v>
      </c>
      <c r="K184">
        <f>SUM(J184:J273)</f>
        <v>132.05458296437595</v>
      </c>
    </row>
    <row r="185" spans="1:11" x14ac:dyDescent="0.3">
      <c r="A185">
        <v>3</v>
      </c>
      <c r="B185">
        <v>1926</v>
      </c>
      <c r="C185">
        <v>0.23974274000000001</v>
      </c>
      <c r="D185">
        <v>0.19091492040934099</v>
      </c>
      <c r="G185">
        <v>0.21658418000000002</v>
      </c>
      <c r="H185">
        <f t="shared" si="4"/>
        <v>2.3841559659779446E-3</v>
      </c>
      <c r="J185">
        <f t="shared" si="5"/>
        <v>5.0825446214977484E-2</v>
      </c>
    </row>
    <row r="186" spans="1:11" x14ac:dyDescent="0.3">
      <c r="A186">
        <v>3</v>
      </c>
      <c r="B186">
        <v>1927</v>
      </c>
      <c r="C186">
        <v>0.13318415</v>
      </c>
      <c r="D186">
        <v>0.19523232886785899</v>
      </c>
      <c r="G186">
        <v>0.20616828800000001</v>
      </c>
      <c r="H186">
        <f t="shared" si="4"/>
        <v>3.8499765008178227E-3</v>
      </c>
      <c r="J186">
        <f t="shared" si="5"/>
        <v>9.0576252764023618E-2</v>
      </c>
    </row>
    <row r="187" spans="1:11" x14ac:dyDescent="0.3">
      <c r="A187">
        <v>3</v>
      </c>
      <c r="B187">
        <v>1928</v>
      </c>
      <c r="C187">
        <v>0.15583193000000001</v>
      </c>
      <c r="D187">
        <v>0.19933056133959301</v>
      </c>
      <c r="G187">
        <v>0.22194212700000002</v>
      </c>
      <c r="H187">
        <f t="shared" si="4"/>
        <v>1.8921309284178226E-3</v>
      </c>
      <c r="J187">
        <f t="shared" si="5"/>
        <v>3.8412422499558355E-2</v>
      </c>
    </row>
    <row r="188" spans="1:11" x14ac:dyDescent="0.3">
      <c r="A188">
        <v>3</v>
      </c>
      <c r="B188">
        <v>1929</v>
      </c>
      <c r="C188">
        <v>-3.0145284000000001E-2</v>
      </c>
      <c r="D188">
        <v>0.20322233485785501</v>
      </c>
      <c r="G188">
        <v>0.22083399999999997</v>
      </c>
      <c r="H188">
        <f t="shared" si="4"/>
        <v>5.4460445531385085E-2</v>
      </c>
      <c r="J188">
        <f t="shared" si="5"/>
        <v>1.1167329023813346</v>
      </c>
    </row>
    <row r="189" spans="1:11" x14ac:dyDescent="0.3">
      <c r="A189">
        <v>3</v>
      </c>
      <c r="B189">
        <v>1930</v>
      </c>
      <c r="C189">
        <v>0.18549231999999999</v>
      </c>
      <c r="D189">
        <v>0.206920366463236</v>
      </c>
      <c r="G189">
        <v>0.22721205999999999</v>
      </c>
      <c r="H189">
        <f t="shared" si="4"/>
        <v>4.5916117523060133E-4</v>
      </c>
      <c r="J189">
        <f t="shared" si="5"/>
        <v>8.8941080339606099E-3</v>
      </c>
    </row>
    <row r="190" spans="1:11" x14ac:dyDescent="0.3">
      <c r="A190">
        <v>3</v>
      </c>
      <c r="B190">
        <v>1931</v>
      </c>
      <c r="C190">
        <v>0.25890007999999998</v>
      </c>
      <c r="D190">
        <v>0.21043737318359401</v>
      </c>
      <c r="G190">
        <v>0.21858786000000002</v>
      </c>
      <c r="H190">
        <f t="shared" si="4"/>
        <v>2.3486339519729212E-3</v>
      </c>
      <c r="J190">
        <f t="shared" si="5"/>
        <v>4.9154497210711724E-2</v>
      </c>
    </row>
    <row r="191" spans="1:11" x14ac:dyDescent="0.3">
      <c r="A191">
        <v>3</v>
      </c>
      <c r="B191">
        <v>1932</v>
      </c>
      <c r="C191">
        <v>0.21683604000000001</v>
      </c>
      <c r="D191">
        <v>0.213786072054062</v>
      </c>
      <c r="G191">
        <v>0.21298692999999999</v>
      </c>
      <c r="H191">
        <f t="shared" si="4"/>
        <v>9.3023044712493179E-6</v>
      </c>
      <c r="J191">
        <f t="shared" si="5"/>
        <v>2.0506174222683488E-4</v>
      </c>
    </row>
    <row r="192" spans="1:11" x14ac:dyDescent="0.3">
      <c r="A192">
        <v>3</v>
      </c>
      <c r="B192">
        <v>1933</v>
      </c>
      <c r="C192">
        <v>3.9953324999999998E-2</v>
      </c>
      <c r="D192">
        <v>0.21697918011705</v>
      </c>
      <c r="G192">
        <v>0.20951196</v>
      </c>
      <c r="H192">
        <f t="shared" si="4"/>
        <v>3.1338153379922774E-2</v>
      </c>
      <c r="J192">
        <f t="shared" si="5"/>
        <v>0.71393021461833439</v>
      </c>
    </row>
    <row r="193" spans="1:10" x14ac:dyDescent="0.3">
      <c r="A193">
        <v>3</v>
      </c>
      <c r="B193">
        <v>1934</v>
      </c>
      <c r="C193">
        <v>0.18796089999999999</v>
      </c>
      <c r="D193">
        <v>0.22002941439677601</v>
      </c>
      <c r="G193">
        <v>0.19933419999999999</v>
      </c>
      <c r="H193">
        <f t="shared" si="4"/>
        <v>1.0283896156162309E-3</v>
      </c>
      <c r="J193">
        <f t="shared" si="5"/>
        <v>2.5881774416408636E-2</v>
      </c>
    </row>
    <row r="194" spans="1:10" x14ac:dyDescent="0.3">
      <c r="A194">
        <v>3</v>
      </c>
      <c r="B194">
        <v>1935</v>
      </c>
      <c r="C194">
        <v>0.15623851</v>
      </c>
      <c r="D194">
        <v>0.222949491935651</v>
      </c>
      <c r="G194">
        <v>0.19487621700000002</v>
      </c>
      <c r="H194">
        <f t="shared" ref="H194:H257" si="6">(C194-D194)^2</f>
        <v>4.4503551108187548E-3</v>
      </c>
      <c r="J194">
        <f t="shared" si="5"/>
        <v>0.11718633870144246</v>
      </c>
    </row>
    <row r="195" spans="1:10" x14ac:dyDescent="0.3">
      <c r="A195">
        <v>3</v>
      </c>
      <c r="B195">
        <v>1936</v>
      </c>
      <c r="C195">
        <v>0.1927768</v>
      </c>
      <c r="D195">
        <v>0.22575212976880699</v>
      </c>
      <c r="G195">
        <v>0.18799661000000001</v>
      </c>
      <c r="H195">
        <f t="shared" si="6"/>
        <v>1.0873723733615683E-3</v>
      </c>
      <c r="J195">
        <f t="shared" ref="J195:J258" si="7">H195/(G195^2)</f>
        <v>3.0766511691785285E-2</v>
      </c>
    </row>
    <row r="196" spans="1:10" x14ac:dyDescent="0.3">
      <c r="A196">
        <v>3</v>
      </c>
      <c r="B196">
        <v>1937</v>
      </c>
      <c r="C196">
        <v>0.34309879999999998</v>
      </c>
      <c r="D196">
        <v>0.22845004492410201</v>
      </c>
      <c r="G196">
        <v>0.20111965000000001</v>
      </c>
      <c r="H196">
        <f t="shared" si="6"/>
        <v>1.3144337040453242E-2</v>
      </c>
      <c r="J196">
        <f t="shared" si="7"/>
        <v>0.32495982891486841</v>
      </c>
    </row>
    <row r="197" spans="1:10" x14ac:dyDescent="0.3">
      <c r="A197">
        <v>3</v>
      </c>
      <c r="B197">
        <v>1938</v>
      </c>
      <c r="C197">
        <v>0.35009699999999999</v>
      </c>
      <c r="D197">
        <v>0.23105595443666899</v>
      </c>
      <c r="G197">
        <v>0.19620601999999998</v>
      </c>
      <c r="H197">
        <f t="shared" si="6"/>
        <v>1.4170770528811048E-2</v>
      </c>
      <c r="J197">
        <f t="shared" si="7"/>
        <v>0.36810253548285488</v>
      </c>
    </row>
    <row r="198" spans="1:10" x14ac:dyDescent="0.3">
      <c r="A198">
        <v>3</v>
      </c>
      <c r="B198">
        <v>1939</v>
      </c>
      <c r="C198">
        <v>0.32150054</v>
      </c>
      <c r="D198">
        <v>0.233582575347099</v>
      </c>
      <c r="G198">
        <v>0.21181498999999998</v>
      </c>
      <c r="H198">
        <f t="shared" si="6"/>
        <v>7.7295685087087496E-3</v>
      </c>
      <c r="J198">
        <f t="shared" si="7"/>
        <v>0.17228277864295397</v>
      </c>
    </row>
    <row r="199" spans="1:10" x14ac:dyDescent="0.3">
      <c r="A199">
        <v>3</v>
      </c>
      <c r="B199">
        <v>1940</v>
      </c>
      <c r="C199">
        <v>0.43823355000000003</v>
      </c>
      <c r="D199">
        <v>0.23604262468324999</v>
      </c>
      <c r="G199">
        <v>0.23577104999999998</v>
      </c>
      <c r="H199">
        <f t="shared" si="6"/>
        <v>4.0881170280443593E-2</v>
      </c>
      <c r="J199">
        <f t="shared" si="7"/>
        <v>0.73543173153038832</v>
      </c>
    </row>
    <row r="200" spans="1:10" x14ac:dyDescent="0.3">
      <c r="A200">
        <v>3</v>
      </c>
      <c r="B200">
        <v>1941</v>
      </c>
      <c r="C200">
        <v>0.40042704000000001</v>
      </c>
      <c r="D200">
        <v>0.23844881949480601</v>
      </c>
      <c r="G200">
        <v>0.40076646999999999</v>
      </c>
      <c r="H200">
        <f t="shared" si="6"/>
        <v>2.6236943918029252E-2</v>
      </c>
      <c r="J200">
        <f t="shared" si="7"/>
        <v>0.16335426896280367</v>
      </c>
    </row>
    <row r="201" spans="1:10" x14ac:dyDescent="0.3">
      <c r="A201">
        <v>3</v>
      </c>
      <c r="B201">
        <v>1942</v>
      </c>
      <c r="C201">
        <v>0.36370382000000001</v>
      </c>
      <c r="D201">
        <v>0.240813876793254</v>
      </c>
      <c r="G201">
        <v>0.39323698000000007</v>
      </c>
      <c r="H201">
        <f t="shared" si="6"/>
        <v>1.510193814135726E-2</v>
      </c>
      <c r="J201">
        <f t="shared" si="7"/>
        <v>9.7661633209733117E-2</v>
      </c>
    </row>
    <row r="202" spans="1:10" x14ac:dyDescent="0.3">
      <c r="A202">
        <v>3</v>
      </c>
      <c r="B202">
        <v>1943</v>
      </c>
      <c r="C202">
        <v>0.36871934000000001</v>
      </c>
      <c r="D202">
        <v>0.243150513631917</v>
      </c>
      <c r="G202">
        <v>0.41200937000000004</v>
      </c>
      <c r="H202">
        <f t="shared" si="6"/>
        <v>1.5767530155457777E-2</v>
      </c>
      <c r="J202">
        <f t="shared" si="7"/>
        <v>9.2885833884706157E-2</v>
      </c>
    </row>
    <row r="203" spans="1:10" x14ac:dyDescent="0.3">
      <c r="A203">
        <v>3</v>
      </c>
      <c r="B203">
        <v>1944</v>
      </c>
      <c r="C203">
        <v>0.50640289999999999</v>
      </c>
      <c r="D203">
        <v>0.245471447040472</v>
      </c>
      <c r="G203">
        <v>0.39719992000000004</v>
      </c>
      <c r="H203">
        <f t="shared" si="6"/>
        <v>6.8085223143570378E-2</v>
      </c>
      <c r="J203">
        <f t="shared" si="7"/>
        <v>0.43155341779193029</v>
      </c>
    </row>
    <row r="204" spans="1:10" x14ac:dyDescent="0.3">
      <c r="A204">
        <v>3</v>
      </c>
      <c r="B204">
        <v>1945</v>
      </c>
      <c r="C204">
        <v>0.40538610000000003</v>
      </c>
      <c r="D204">
        <v>0.24778939404859501</v>
      </c>
      <c r="G204">
        <v>0.40074251999999999</v>
      </c>
      <c r="H204">
        <f t="shared" si="6"/>
        <v>2.4836721726733617E-2</v>
      </c>
      <c r="J204">
        <f t="shared" si="7"/>
        <v>0.15465480644047735</v>
      </c>
    </row>
    <row r="205" spans="1:10" x14ac:dyDescent="0.3">
      <c r="A205">
        <v>3</v>
      </c>
      <c r="B205">
        <v>1946</v>
      </c>
      <c r="C205">
        <v>0.24348313999999999</v>
      </c>
      <c r="D205">
        <v>0.25011707169142</v>
      </c>
      <c r="G205">
        <v>0.29427287000000002</v>
      </c>
      <c r="H205">
        <f t="shared" si="6"/>
        <v>4.4009049686426812E-5</v>
      </c>
      <c r="J205">
        <f t="shared" si="7"/>
        <v>5.0820805109540439E-4</v>
      </c>
    </row>
    <row r="206" spans="1:10" x14ac:dyDescent="0.3">
      <c r="A206">
        <v>3</v>
      </c>
      <c r="B206">
        <v>1947</v>
      </c>
      <c r="C206">
        <v>0.27109214999999998</v>
      </c>
      <c r="D206">
        <v>0.25246719700953602</v>
      </c>
      <c r="G206">
        <v>0.28116972000000001</v>
      </c>
      <c r="H206">
        <f t="shared" si="6"/>
        <v>3.4688887389699243E-4</v>
      </c>
      <c r="J206">
        <f t="shared" si="7"/>
        <v>4.3878651656084665E-3</v>
      </c>
    </row>
    <row r="207" spans="1:10" x14ac:dyDescent="0.3">
      <c r="A207">
        <v>3</v>
      </c>
      <c r="B207">
        <v>1948</v>
      </c>
      <c r="C207">
        <v>0.23763648000000001</v>
      </c>
      <c r="D207">
        <v>0.254852487038078</v>
      </c>
      <c r="G207">
        <v>0.26894422000000001</v>
      </c>
      <c r="H207">
        <f t="shared" si="6"/>
        <v>2.963908983351509E-4</v>
      </c>
      <c r="J207">
        <f t="shared" si="7"/>
        <v>4.0977025768671451E-3</v>
      </c>
    </row>
    <row r="208" spans="1:10" x14ac:dyDescent="0.3">
      <c r="A208">
        <v>3</v>
      </c>
      <c r="B208">
        <v>1949</v>
      </c>
      <c r="C208">
        <v>0.21849552</v>
      </c>
      <c r="D208">
        <v>0.25728565880490301</v>
      </c>
      <c r="G208">
        <v>0.22055050999999998</v>
      </c>
      <c r="H208">
        <f t="shared" si="6"/>
        <v>1.5046748685036422E-3</v>
      </c>
      <c r="J208">
        <f t="shared" si="7"/>
        <v>3.0933320019236175E-2</v>
      </c>
    </row>
    <row r="209" spans="1:10" x14ac:dyDescent="0.3">
      <c r="A209">
        <v>3</v>
      </c>
      <c r="B209">
        <v>1950</v>
      </c>
      <c r="C209">
        <v>0.13567593999999999</v>
      </c>
      <c r="D209">
        <v>0.25977942934696302</v>
      </c>
      <c r="G209">
        <v>0.21207035199999999</v>
      </c>
      <c r="H209">
        <f t="shared" si="6"/>
        <v>1.5401676068091764E-2</v>
      </c>
      <c r="J209">
        <f t="shared" si="7"/>
        <v>0.34245859493520392</v>
      </c>
    </row>
    <row r="210" spans="1:10" x14ac:dyDescent="0.3">
      <c r="A210">
        <v>3</v>
      </c>
      <c r="B210">
        <v>1951</v>
      </c>
      <c r="C210">
        <v>0.30114380000000002</v>
      </c>
      <c r="D210">
        <v>0.26234651570120998</v>
      </c>
      <c r="G210">
        <v>0.17839253999999999</v>
      </c>
      <c r="H210">
        <f t="shared" si="6"/>
        <v>1.5052292689611399E-3</v>
      </c>
      <c r="J210">
        <f t="shared" si="7"/>
        <v>4.7298707828426385E-2</v>
      </c>
    </row>
    <row r="211" spans="1:10" x14ac:dyDescent="0.3">
      <c r="A211">
        <v>3</v>
      </c>
      <c r="B211">
        <v>1952</v>
      </c>
      <c r="C211">
        <v>0.3776523</v>
      </c>
      <c r="D211">
        <v>0.26499963490641598</v>
      </c>
      <c r="G211">
        <v>0.19658106999999997</v>
      </c>
      <c r="H211">
        <f t="shared" si="6"/>
        <v>1.2690622952687202E-2</v>
      </c>
      <c r="J211">
        <f t="shared" si="7"/>
        <v>0.32839728038411037</v>
      </c>
    </row>
    <row r="212" spans="1:10" x14ac:dyDescent="0.3">
      <c r="A212">
        <v>3</v>
      </c>
      <c r="B212">
        <v>1953</v>
      </c>
      <c r="C212">
        <v>0.4399285</v>
      </c>
      <c r="D212">
        <v>0.26775150398680098</v>
      </c>
      <c r="G212">
        <v>0.19632071000000001</v>
      </c>
      <c r="H212">
        <f t="shared" si="6"/>
        <v>2.9644917956129151E-2</v>
      </c>
      <c r="J212">
        <f t="shared" si="7"/>
        <v>0.76916235539570121</v>
      </c>
    </row>
    <row r="213" spans="1:10" x14ac:dyDescent="0.3">
      <c r="A213">
        <v>3</v>
      </c>
      <c r="B213">
        <v>1954</v>
      </c>
      <c r="C213">
        <v>0.24554751999999999</v>
      </c>
      <c r="D213">
        <v>0.270614839981135</v>
      </c>
      <c r="G213">
        <v>0.18350500999999997</v>
      </c>
      <c r="H213">
        <f t="shared" si="6"/>
        <v>6.2837053103661058E-4</v>
      </c>
      <c r="J213">
        <f t="shared" si="7"/>
        <v>1.8660357425739175E-2</v>
      </c>
    </row>
    <row r="214" spans="1:10" x14ac:dyDescent="0.3">
      <c r="A214">
        <v>3</v>
      </c>
      <c r="B214">
        <v>1955</v>
      </c>
      <c r="C214">
        <v>0.16498779999999999</v>
      </c>
      <c r="D214">
        <v>0.273602359935466</v>
      </c>
      <c r="G214">
        <v>0.17424004999999998</v>
      </c>
      <c r="H214">
        <f t="shared" si="6"/>
        <v>1.1797122629974939E-2</v>
      </c>
      <c r="J214">
        <f t="shared" si="7"/>
        <v>0.38857970999442043</v>
      </c>
    </row>
    <row r="215" spans="1:10" x14ac:dyDescent="0.3">
      <c r="A215">
        <v>3</v>
      </c>
      <c r="B215">
        <v>1956</v>
      </c>
      <c r="C215">
        <v>9.9132129999999999E-2</v>
      </c>
      <c r="D215">
        <v>0.276726780870376</v>
      </c>
      <c r="G215">
        <v>0.15192007599999999</v>
      </c>
      <c r="H215">
        <f t="shared" si="6"/>
        <v>3.1539860017770746E-2</v>
      </c>
      <c r="J215">
        <f t="shared" si="7"/>
        <v>1.3665622623592384</v>
      </c>
    </row>
    <row r="216" spans="1:10" x14ac:dyDescent="0.3">
      <c r="A216">
        <v>3</v>
      </c>
      <c r="B216">
        <v>1957</v>
      </c>
      <c r="C216">
        <v>0.32696282999999998</v>
      </c>
      <c r="D216">
        <v>0.280000819820998</v>
      </c>
      <c r="G216">
        <v>0.13046738999999996</v>
      </c>
      <c r="H216">
        <f t="shared" si="6"/>
        <v>2.2054304000526854E-3</v>
      </c>
      <c r="J216">
        <f t="shared" si="7"/>
        <v>0.12956550969791708</v>
      </c>
    </row>
    <row r="217" spans="1:10" x14ac:dyDescent="0.3">
      <c r="A217">
        <v>3</v>
      </c>
      <c r="B217">
        <v>1958</v>
      </c>
      <c r="C217">
        <v>0.3446652</v>
      </c>
      <c r="D217">
        <v>0.28343719382973998</v>
      </c>
      <c r="G217">
        <v>0.13088402999999998</v>
      </c>
      <c r="H217">
        <f t="shared" si="6"/>
        <v>3.7488687395854001E-3</v>
      </c>
      <c r="J217">
        <f t="shared" si="7"/>
        <v>0.21884010633555007</v>
      </c>
    </row>
    <row r="218" spans="1:10" x14ac:dyDescent="0.3">
      <c r="A218">
        <v>3</v>
      </c>
      <c r="B218">
        <v>1959</v>
      </c>
      <c r="C218">
        <v>0.31429294000000002</v>
      </c>
      <c r="D218">
        <v>0.28704861992991898</v>
      </c>
      <c r="G218">
        <v>0.12471783000000003</v>
      </c>
      <c r="H218">
        <f t="shared" si="6"/>
        <v>7.4225297608102058E-4</v>
      </c>
      <c r="J218">
        <f t="shared" si="7"/>
        <v>4.7719386977512802E-2</v>
      </c>
    </row>
    <row r="219" spans="1:10" x14ac:dyDescent="0.3">
      <c r="A219">
        <v>3</v>
      </c>
      <c r="B219">
        <v>1960</v>
      </c>
      <c r="C219">
        <v>0.24683817</v>
      </c>
      <c r="D219">
        <v>0.290847815151209</v>
      </c>
      <c r="G219">
        <v>0.11735596999999998</v>
      </c>
      <c r="H219">
        <f t="shared" si="6"/>
        <v>1.9368488663353341E-3</v>
      </c>
      <c r="J219">
        <f t="shared" si="7"/>
        <v>0.14063239044039852</v>
      </c>
    </row>
    <row r="220" spans="1:10" x14ac:dyDescent="0.3">
      <c r="A220">
        <v>3</v>
      </c>
      <c r="B220">
        <v>1961</v>
      </c>
      <c r="C220">
        <v>0.34229797000000001</v>
      </c>
      <c r="D220">
        <v>0.29484749652692699</v>
      </c>
      <c r="G220">
        <v>0.10156016000000001</v>
      </c>
      <c r="H220">
        <f t="shared" si="6"/>
        <v>2.251547432818806E-3</v>
      </c>
      <c r="J220">
        <f t="shared" si="7"/>
        <v>0.21829025478961531</v>
      </c>
    </row>
    <row r="221" spans="1:10" x14ac:dyDescent="0.3">
      <c r="A221">
        <v>3</v>
      </c>
      <c r="B221">
        <v>1962</v>
      </c>
      <c r="C221">
        <v>0.29825502999999998</v>
      </c>
      <c r="D221">
        <v>0.29906038109947902</v>
      </c>
      <c r="G221">
        <v>0.10653303000000003</v>
      </c>
      <c r="H221">
        <f t="shared" si="6"/>
        <v>6.4859039343210794E-7</v>
      </c>
      <c r="J221">
        <f t="shared" si="7"/>
        <v>5.7148120678688778E-5</v>
      </c>
    </row>
    <row r="222" spans="1:10" x14ac:dyDescent="0.3">
      <c r="A222">
        <v>3</v>
      </c>
      <c r="B222">
        <v>1963</v>
      </c>
      <c r="C222">
        <v>0.32548714000000001</v>
      </c>
      <c r="D222">
        <v>0.30349918589490699</v>
      </c>
      <c r="G222">
        <v>0.10753833000000002</v>
      </c>
      <c r="H222">
        <f t="shared" si="6"/>
        <v>4.8347012572767708E-4</v>
      </c>
      <c r="J222">
        <f t="shared" si="7"/>
        <v>4.1806428523006992E-2</v>
      </c>
    </row>
    <row r="223" spans="1:10" x14ac:dyDescent="0.3">
      <c r="A223">
        <v>3</v>
      </c>
      <c r="B223">
        <v>1964</v>
      </c>
      <c r="C223">
        <v>5.6436214999999998E-2</v>
      </c>
      <c r="D223">
        <v>0.30817662795561701</v>
      </c>
      <c r="G223">
        <v>8.726594E-2</v>
      </c>
      <c r="H223">
        <f t="shared" si="6"/>
        <v>6.3373235515064574E-2</v>
      </c>
      <c r="J223">
        <f t="shared" si="7"/>
        <v>8.3217820693303892</v>
      </c>
    </row>
    <row r="224" spans="1:10" x14ac:dyDescent="0.3">
      <c r="A224">
        <v>3</v>
      </c>
      <c r="B224">
        <v>1965</v>
      </c>
      <c r="C224">
        <v>0.15787726999999999</v>
      </c>
      <c r="D224">
        <v>0.31310542431128802</v>
      </c>
      <c r="G224">
        <v>9.838044E-2</v>
      </c>
      <c r="H224">
        <f t="shared" si="6"/>
        <v>2.4095779890889048E-2</v>
      </c>
      <c r="J224">
        <f t="shared" si="7"/>
        <v>2.4895649796899537</v>
      </c>
    </row>
    <row r="225" spans="1:10" x14ac:dyDescent="0.3">
      <c r="A225">
        <v>3</v>
      </c>
      <c r="B225">
        <v>1966</v>
      </c>
      <c r="C225">
        <v>0.21340013999999999</v>
      </c>
      <c r="D225">
        <v>0.31829829200068999</v>
      </c>
      <c r="G225">
        <v>9.9023140000000037E-2</v>
      </c>
      <c r="H225">
        <f t="shared" si="6"/>
        <v>1.1003622293159864E-2</v>
      </c>
      <c r="J225">
        <f t="shared" si="7"/>
        <v>1.122179387871965</v>
      </c>
    </row>
    <row r="226" spans="1:10" x14ac:dyDescent="0.3">
      <c r="A226">
        <v>3</v>
      </c>
      <c r="B226">
        <v>1967</v>
      </c>
      <c r="C226">
        <v>0.24475846000000001</v>
      </c>
      <c r="D226">
        <v>0.323767948055319</v>
      </c>
      <c r="G226">
        <v>8.6234999999999978E-2</v>
      </c>
      <c r="H226">
        <f t="shared" si="6"/>
        <v>6.2424992027635936E-3</v>
      </c>
      <c r="J226">
        <f t="shared" si="7"/>
        <v>0.83944328648840438</v>
      </c>
    </row>
    <row r="227" spans="1:10" x14ac:dyDescent="0.3">
      <c r="A227">
        <v>3</v>
      </c>
      <c r="B227">
        <v>1968</v>
      </c>
      <c r="C227">
        <v>0.19365019</v>
      </c>
      <c r="D227">
        <v>0.32952710951212699</v>
      </c>
      <c r="G227">
        <v>8.9255870000000015E-2</v>
      </c>
      <c r="H227">
        <f t="shared" si="6"/>
        <v>1.8462537256105038E-2</v>
      </c>
      <c r="J227">
        <f t="shared" si="7"/>
        <v>2.3174896841432004</v>
      </c>
    </row>
    <row r="228" spans="1:10" x14ac:dyDescent="0.3">
      <c r="A228">
        <v>3</v>
      </c>
      <c r="B228">
        <v>1969</v>
      </c>
      <c r="C228">
        <v>0.33091152000000001</v>
      </c>
      <c r="D228">
        <v>0.33558849340260999</v>
      </c>
      <c r="G228">
        <v>8.1010250000000006E-2</v>
      </c>
      <c r="H228">
        <f t="shared" si="6"/>
        <v>2.1874080208721119E-5</v>
      </c>
      <c r="J228">
        <f t="shared" si="7"/>
        <v>3.3331116029141046E-3</v>
      </c>
    </row>
    <row r="229" spans="1:10" x14ac:dyDescent="0.3">
      <c r="A229">
        <v>3</v>
      </c>
      <c r="B229">
        <v>1970</v>
      </c>
      <c r="C229">
        <v>0.27723365999999999</v>
      </c>
      <c r="D229">
        <v>0.34196481676553903</v>
      </c>
      <c r="G229">
        <v>8.1977119999999987E-2</v>
      </c>
      <c r="H229">
        <f t="shared" si="6"/>
        <v>4.1901226562047894E-3</v>
      </c>
      <c r="J229">
        <f t="shared" si="7"/>
        <v>0.62350712791024709</v>
      </c>
    </row>
    <row r="230" spans="1:10" x14ac:dyDescent="0.3">
      <c r="A230">
        <v>3</v>
      </c>
      <c r="B230">
        <v>1971</v>
      </c>
      <c r="C230">
        <v>0.15640870000000001</v>
      </c>
      <c r="D230">
        <v>0.34866879663059003</v>
      </c>
      <c r="G230">
        <v>7.7166373999999996E-2</v>
      </c>
      <c r="H230">
        <f t="shared" si="6"/>
        <v>3.6963944756403813E-2</v>
      </c>
      <c r="J230">
        <f t="shared" si="7"/>
        <v>6.2075771453869679</v>
      </c>
    </row>
    <row r="231" spans="1:10" x14ac:dyDescent="0.3">
      <c r="A231">
        <v>3</v>
      </c>
      <c r="B231">
        <v>1972</v>
      </c>
      <c r="C231">
        <v>0.26850644000000001</v>
      </c>
      <c r="D231">
        <v>0.35571315004017301</v>
      </c>
      <c r="G231">
        <v>7.5784360000000023E-2</v>
      </c>
      <c r="H231">
        <f t="shared" si="6"/>
        <v>7.6050102760308099E-3</v>
      </c>
      <c r="J231">
        <f t="shared" si="7"/>
        <v>1.3241605057865626</v>
      </c>
    </row>
    <row r="232" spans="1:10" x14ac:dyDescent="0.3">
      <c r="A232">
        <v>3</v>
      </c>
      <c r="B232">
        <v>1973</v>
      </c>
      <c r="C232">
        <v>0.4122479</v>
      </c>
      <c r="D232">
        <v>0.36311059403305901</v>
      </c>
      <c r="G232">
        <v>7.2942280000000026E-2</v>
      </c>
      <c r="H232">
        <f t="shared" si="6"/>
        <v>2.4144748376887749E-3</v>
      </c>
      <c r="J232">
        <f t="shared" si="7"/>
        <v>0.4537995024721993</v>
      </c>
    </row>
    <row r="233" spans="1:10" x14ac:dyDescent="0.3">
      <c r="A233">
        <v>3</v>
      </c>
      <c r="B233">
        <v>1974</v>
      </c>
      <c r="C233">
        <v>0.18977118000000001</v>
      </c>
      <c r="D233">
        <v>0.37087384562619202</v>
      </c>
      <c r="G233">
        <v>7.539816000000002E-2</v>
      </c>
      <c r="H233">
        <f t="shared" si="6"/>
        <v>3.2798175496912309E-2</v>
      </c>
      <c r="J233">
        <f t="shared" si="7"/>
        <v>5.7693673204041138</v>
      </c>
    </row>
    <row r="234" spans="1:10" x14ac:dyDescent="0.3">
      <c r="A234">
        <v>3</v>
      </c>
      <c r="B234">
        <v>1975</v>
      </c>
      <c r="C234">
        <v>0.25154352000000002</v>
      </c>
      <c r="D234">
        <v>0.37901562185834298</v>
      </c>
      <c r="G234">
        <v>8.110176999999999E-2</v>
      </c>
      <c r="H234">
        <f t="shared" si="6"/>
        <v>1.6249136752183761E-2</v>
      </c>
      <c r="J234">
        <f t="shared" si="7"/>
        <v>2.4704133673075566</v>
      </c>
    </row>
    <row r="235" spans="1:10" x14ac:dyDescent="0.3">
      <c r="A235">
        <v>3</v>
      </c>
      <c r="B235">
        <v>1976</v>
      </c>
      <c r="C235">
        <v>0.14646085</v>
      </c>
      <c r="D235">
        <v>0.38754863977373999</v>
      </c>
      <c r="G235">
        <v>8.0047466000000012E-2</v>
      </c>
      <c r="H235">
        <f t="shared" si="6"/>
        <v>5.8123322377987049E-2</v>
      </c>
      <c r="J235">
        <f t="shared" si="7"/>
        <v>9.0710018239399997</v>
      </c>
    </row>
    <row r="236" spans="1:10" x14ac:dyDescent="0.3">
      <c r="A236">
        <v>3</v>
      </c>
      <c r="B236">
        <v>1977</v>
      </c>
      <c r="C236">
        <v>0.46538624000000001</v>
      </c>
      <c r="D236">
        <v>0.39648561639660301</v>
      </c>
      <c r="G236">
        <v>8.6063669999999981E-2</v>
      </c>
      <c r="H236">
        <f t="shared" si="6"/>
        <v>4.7472959329369867E-3</v>
      </c>
      <c r="J236">
        <f t="shared" si="7"/>
        <v>0.64092406995713314</v>
      </c>
    </row>
    <row r="237" spans="1:10" x14ac:dyDescent="0.3">
      <c r="A237">
        <v>3</v>
      </c>
      <c r="B237">
        <v>1978</v>
      </c>
      <c r="C237">
        <v>0.36755369999999998</v>
      </c>
      <c r="D237">
        <v>0.405839268780255</v>
      </c>
      <c r="G237">
        <v>7.9705179999999987E-2</v>
      </c>
      <c r="H237">
        <f t="shared" si="6"/>
        <v>1.4657847768276377E-3</v>
      </c>
      <c r="J237">
        <f t="shared" si="7"/>
        <v>0.23072630610894271</v>
      </c>
    </row>
    <row r="238" spans="1:10" x14ac:dyDescent="0.3">
      <c r="A238">
        <v>3</v>
      </c>
      <c r="B238">
        <v>1979</v>
      </c>
      <c r="C238">
        <v>0.45315588000000001</v>
      </c>
      <c r="D238">
        <v>0.415622313943458</v>
      </c>
      <c r="G238">
        <v>5.6999040000000001E-2</v>
      </c>
      <c r="H238">
        <f t="shared" si="6"/>
        <v>1.4087685809208027E-3</v>
      </c>
      <c r="J238">
        <f t="shared" si="7"/>
        <v>0.43361527712438025</v>
      </c>
    </row>
    <row r="239" spans="1:10" x14ac:dyDescent="0.3">
      <c r="A239">
        <v>3</v>
      </c>
      <c r="B239">
        <v>1980</v>
      </c>
      <c r="C239">
        <v>0.55836980000000003</v>
      </c>
      <c r="D239">
        <v>0.42584746891952802</v>
      </c>
      <c r="G239">
        <v>6.6536150000000016E-2</v>
      </c>
      <c r="H239">
        <f t="shared" si="6"/>
        <v>1.7562168235002239E-2</v>
      </c>
      <c r="J239">
        <f t="shared" si="7"/>
        <v>3.9670054580673018</v>
      </c>
    </row>
    <row r="240" spans="1:10" x14ac:dyDescent="0.3">
      <c r="A240">
        <v>3</v>
      </c>
      <c r="B240">
        <v>1981</v>
      </c>
      <c r="C240">
        <v>0.61230980000000002</v>
      </c>
      <c r="D240">
        <v>0.43652745075087201</v>
      </c>
      <c r="G240">
        <v>6.1241569999999967E-2</v>
      </c>
      <c r="H240">
        <f t="shared" si="6"/>
        <v>3.0899434307542412E-2</v>
      </c>
      <c r="J240">
        <f t="shared" si="7"/>
        <v>8.2386849762116263</v>
      </c>
    </row>
    <row r="241" spans="1:10" x14ac:dyDescent="0.3">
      <c r="A241">
        <v>3</v>
      </c>
      <c r="B241">
        <v>1982</v>
      </c>
      <c r="C241">
        <v>0.39656603000000001</v>
      </c>
      <c r="D241">
        <v>0.44767497646534998</v>
      </c>
      <c r="G241">
        <v>7.8753829999999969E-2</v>
      </c>
      <c r="H241">
        <f t="shared" si="6"/>
        <v>2.6121244087980093E-3</v>
      </c>
      <c r="J241">
        <f t="shared" si="7"/>
        <v>0.42116327077345378</v>
      </c>
    </row>
    <row r="242" spans="1:10" x14ac:dyDescent="0.3">
      <c r="A242">
        <v>3</v>
      </c>
      <c r="B242">
        <v>1983</v>
      </c>
      <c r="C242">
        <v>0.58610759999999995</v>
      </c>
      <c r="D242">
        <v>0.45930276309809398</v>
      </c>
      <c r="G242">
        <v>7.1531040000000101E-2</v>
      </c>
      <c r="H242">
        <f t="shared" si="6"/>
        <v>1.6079466661718975E-2</v>
      </c>
      <c r="J242">
        <f t="shared" si="7"/>
        <v>3.1425526378175466</v>
      </c>
    </row>
    <row r="243" spans="1:10" x14ac:dyDescent="0.3">
      <c r="A243">
        <v>3</v>
      </c>
      <c r="B243">
        <v>1984</v>
      </c>
      <c r="C243">
        <v>0.41029125</v>
      </c>
      <c r="D243">
        <v>0.47142352768969398</v>
      </c>
      <c r="G243">
        <v>7.2906699999999991E-2</v>
      </c>
      <c r="H243">
        <f t="shared" si="6"/>
        <v>3.7371553755298566E-3</v>
      </c>
      <c r="J243">
        <f t="shared" si="7"/>
        <v>0.70308247403247048</v>
      </c>
    </row>
    <row r="244" spans="1:10" x14ac:dyDescent="0.3">
      <c r="A244">
        <v>3</v>
      </c>
      <c r="B244">
        <v>1985</v>
      </c>
      <c r="C244">
        <v>0.41202748</v>
      </c>
      <c r="D244">
        <v>0.48404998727710302</v>
      </c>
      <c r="G244">
        <v>6.8132599999999988E-2</v>
      </c>
      <c r="H244">
        <f t="shared" si="6"/>
        <v>5.1872415544803579E-3</v>
      </c>
      <c r="J244">
        <f t="shared" si="7"/>
        <v>1.1174460061416662</v>
      </c>
    </row>
    <row r="245" spans="1:10" x14ac:dyDescent="0.3">
      <c r="A245">
        <v>3</v>
      </c>
      <c r="B245">
        <v>1986</v>
      </c>
      <c r="C245">
        <v>0.45798472000000001</v>
      </c>
      <c r="D245">
        <v>0.497194858886359</v>
      </c>
      <c r="G245">
        <v>6.2557950000000029E-2</v>
      </c>
      <c r="H245">
        <f t="shared" si="6"/>
        <v>1.5374349914875616E-3</v>
      </c>
      <c r="J245">
        <f t="shared" si="7"/>
        <v>0.39285451067925181</v>
      </c>
    </row>
    <row r="246" spans="1:10" x14ac:dyDescent="0.3">
      <c r="A246">
        <v>3</v>
      </c>
      <c r="B246">
        <v>1987</v>
      </c>
      <c r="C246">
        <v>0.60532414999999995</v>
      </c>
      <c r="D246">
        <v>0.510870859558053</v>
      </c>
      <c r="G246">
        <v>6.168169999999995E-2</v>
      </c>
      <c r="H246">
        <f t="shared" si="6"/>
        <v>8.9214240753107861E-3</v>
      </c>
      <c r="J246">
        <f t="shared" si="7"/>
        <v>2.3448848156423496</v>
      </c>
    </row>
    <row r="247" spans="1:10" x14ac:dyDescent="0.3">
      <c r="A247">
        <v>3</v>
      </c>
      <c r="B247">
        <v>1988</v>
      </c>
      <c r="C247">
        <v>0.64444950000000001</v>
      </c>
      <c r="D247">
        <v>0.52509070632186094</v>
      </c>
      <c r="G247">
        <v>7.0232859999999953E-2</v>
      </c>
      <c r="H247">
        <f t="shared" si="6"/>
        <v>1.4246521628300569E-2</v>
      </c>
      <c r="J247">
        <f t="shared" si="7"/>
        <v>2.888205786721862</v>
      </c>
    </row>
    <row r="248" spans="1:10" x14ac:dyDescent="0.3">
      <c r="A248">
        <v>3</v>
      </c>
      <c r="B248">
        <v>1989</v>
      </c>
      <c r="C248">
        <v>0.54154809999999998</v>
      </c>
      <c r="D248">
        <v>0.53986711622019301</v>
      </c>
      <c r="G248">
        <v>6.9503699999999946E-2</v>
      </c>
      <c r="H248">
        <f t="shared" si="6"/>
        <v>2.8257064679741143E-6</v>
      </c>
      <c r="J248">
        <f t="shared" si="7"/>
        <v>5.8493983239180027E-4</v>
      </c>
    </row>
    <row r="249" spans="1:10" x14ac:dyDescent="0.3">
      <c r="A249">
        <v>3</v>
      </c>
      <c r="B249">
        <v>1990</v>
      </c>
      <c r="C249">
        <v>0.72288010000000003</v>
      </c>
      <c r="D249">
        <v>0.55521280627726799</v>
      </c>
      <c r="G249">
        <v>7.2027339999999995E-2</v>
      </c>
      <c r="H249">
        <f t="shared" si="6"/>
        <v>2.8112321384304896E-2</v>
      </c>
      <c r="J249">
        <f t="shared" si="7"/>
        <v>5.418785453764456</v>
      </c>
    </row>
    <row r="250" spans="1:10" x14ac:dyDescent="0.3">
      <c r="A250">
        <v>3</v>
      </c>
      <c r="B250">
        <v>1991</v>
      </c>
      <c r="C250">
        <v>0.70119430000000005</v>
      </c>
      <c r="D250">
        <v>0.57114049354458896</v>
      </c>
      <c r="G250">
        <v>6.9720759999999937E-2</v>
      </c>
      <c r="H250">
        <f t="shared" si="6"/>
        <v>1.6913992573541529E-2</v>
      </c>
      <c r="J250">
        <f t="shared" si="7"/>
        <v>3.4795406174535382</v>
      </c>
    </row>
    <row r="251" spans="1:10" x14ac:dyDescent="0.3">
      <c r="A251">
        <v>3</v>
      </c>
      <c r="B251">
        <v>1992</v>
      </c>
      <c r="C251">
        <v>0.48719456999999999</v>
      </c>
      <c r="D251">
        <v>0.58766289503546398</v>
      </c>
      <c r="G251">
        <v>6.8029430000000002E-2</v>
      </c>
      <c r="H251">
        <f t="shared" si="6"/>
        <v>1.009388433543164E-2</v>
      </c>
      <c r="J251">
        <f t="shared" si="7"/>
        <v>2.1810451679736595</v>
      </c>
    </row>
    <row r="252" spans="1:10" x14ac:dyDescent="0.3">
      <c r="A252">
        <v>3</v>
      </c>
      <c r="B252">
        <v>1993</v>
      </c>
      <c r="C252">
        <v>0.52800493999999998</v>
      </c>
      <c r="D252">
        <v>0.60479272779775695</v>
      </c>
      <c r="G252">
        <v>7.4980899999999961E-2</v>
      </c>
      <c r="H252">
        <f t="shared" si="6"/>
        <v>5.8963643548733541E-3</v>
      </c>
      <c r="J252">
        <f t="shared" si="7"/>
        <v>1.0487766608715634</v>
      </c>
    </row>
    <row r="253" spans="1:10" x14ac:dyDescent="0.3">
      <c r="A253">
        <v>3</v>
      </c>
      <c r="B253">
        <v>1994</v>
      </c>
      <c r="C253">
        <v>0.59584755</v>
      </c>
      <c r="D253">
        <v>0.62254270885932705</v>
      </c>
      <c r="G253">
        <v>7.0273669999999955E-2</v>
      </c>
      <c r="H253">
        <f t="shared" si="6"/>
        <v>7.1263150652470751E-4</v>
      </c>
      <c r="J253">
        <f t="shared" si="7"/>
        <v>0.14430445849826021</v>
      </c>
    </row>
    <row r="254" spans="1:10" x14ac:dyDescent="0.3">
      <c r="A254">
        <v>3</v>
      </c>
      <c r="B254">
        <v>1995</v>
      </c>
      <c r="C254">
        <v>0.73916389999999998</v>
      </c>
      <c r="D254">
        <v>0.64092555526258299</v>
      </c>
      <c r="G254">
        <v>6.6420759999999968E-2</v>
      </c>
      <c r="H254">
        <f t="shared" si="6"/>
        <v>9.6507723767475847E-3</v>
      </c>
      <c r="J254">
        <f t="shared" si="7"/>
        <v>2.1875318819118834</v>
      </c>
    </row>
    <row r="255" spans="1:10" x14ac:dyDescent="0.3">
      <c r="A255">
        <v>3</v>
      </c>
      <c r="B255">
        <v>1996</v>
      </c>
      <c r="C255">
        <v>0.63898710000000003</v>
      </c>
      <c r="D255">
        <v>0.65995398404265804</v>
      </c>
      <c r="G255">
        <v>6.7018750000000016E-2</v>
      </c>
      <c r="H255">
        <f t="shared" si="6"/>
        <v>4.3961022645826696E-4</v>
      </c>
      <c r="J255">
        <f t="shared" si="7"/>
        <v>9.7875758343947711E-2</v>
      </c>
    </row>
    <row r="256" spans="1:10" x14ac:dyDescent="0.3">
      <c r="A256">
        <v>3</v>
      </c>
      <c r="B256">
        <v>1997</v>
      </c>
      <c r="C256">
        <v>0.78460629999999998</v>
      </c>
      <c r="D256">
        <v>0.67964071222559097</v>
      </c>
      <c r="G256">
        <v>6.4435360000000053E-2</v>
      </c>
      <c r="H256">
        <f t="shared" si="6"/>
        <v>1.1017774616827162E-2</v>
      </c>
      <c r="J256">
        <f t="shared" si="7"/>
        <v>2.6536605339922148</v>
      </c>
    </row>
    <row r="257" spans="1:10" x14ac:dyDescent="0.3">
      <c r="A257">
        <v>3</v>
      </c>
      <c r="B257">
        <v>1998</v>
      </c>
      <c r="C257">
        <v>0.93963945000000004</v>
      </c>
      <c r="D257">
        <v>0.69999845684651496</v>
      </c>
      <c r="G257">
        <v>6.8545859999999958E-2</v>
      </c>
      <c r="H257">
        <f t="shared" si="6"/>
        <v>5.7427805599588683E-2</v>
      </c>
      <c r="J257">
        <f t="shared" si="7"/>
        <v>12.222492019111144</v>
      </c>
    </row>
    <row r="258" spans="1:10" x14ac:dyDescent="0.3">
      <c r="A258">
        <v>3</v>
      </c>
      <c r="B258">
        <v>1999</v>
      </c>
      <c r="C258">
        <v>0.68678269999999997</v>
      </c>
      <c r="D258">
        <v>0.72103993494783902</v>
      </c>
      <c r="G258">
        <v>6.3300429999999963E-2</v>
      </c>
      <c r="H258">
        <f t="shared" ref="H258:H321" si="8">(C258-D258)^2</f>
        <v>1.1735581462714456E-3</v>
      </c>
      <c r="J258">
        <f t="shared" si="7"/>
        <v>0.29288106295855088</v>
      </c>
    </row>
    <row r="259" spans="1:10" x14ac:dyDescent="0.3">
      <c r="A259">
        <v>3</v>
      </c>
      <c r="B259">
        <v>2000</v>
      </c>
      <c r="C259">
        <v>0.69338250000000001</v>
      </c>
      <c r="D259">
        <v>0.74277786355742104</v>
      </c>
      <c r="G259">
        <v>6.5713839999999912E-2</v>
      </c>
      <c r="H259">
        <f t="shared" si="8"/>
        <v>2.4399019409697968E-3</v>
      </c>
      <c r="J259">
        <f t="shared" ref="J259:J322" si="9">H259/(G259^2)</f>
        <v>0.56501331245856512</v>
      </c>
    </row>
    <row r="260" spans="1:10" x14ac:dyDescent="0.3">
      <c r="A260">
        <v>3</v>
      </c>
      <c r="B260">
        <v>2001</v>
      </c>
      <c r="C260">
        <v>0.8515781</v>
      </c>
      <c r="D260">
        <v>0.76522495971585103</v>
      </c>
      <c r="G260">
        <v>6.2424050000000064E-2</v>
      </c>
      <c r="H260">
        <f t="shared" si="8"/>
        <v>7.4568648369339125E-3</v>
      </c>
      <c r="J260">
        <f t="shared" si="9"/>
        <v>1.9136053989745265</v>
      </c>
    </row>
    <row r="261" spans="1:10" x14ac:dyDescent="0.3">
      <c r="A261">
        <v>3</v>
      </c>
      <c r="B261">
        <v>2002</v>
      </c>
      <c r="C261">
        <v>0.90576429999999997</v>
      </c>
      <c r="D261">
        <v>0.78839394045826305</v>
      </c>
      <c r="G261">
        <v>6.136929999999996E-2</v>
      </c>
      <c r="H261">
        <f t="shared" si="8"/>
        <v>1.3775801298956593E-2</v>
      </c>
      <c r="J261">
        <f t="shared" si="9"/>
        <v>3.6577543101249748</v>
      </c>
    </row>
    <row r="262" spans="1:10" x14ac:dyDescent="0.3">
      <c r="A262">
        <v>3</v>
      </c>
      <c r="B262">
        <v>2003</v>
      </c>
      <c r="C262">
        <v>0.90646789999999999</v>
      </c>
      <c r="D262">
        <v>0.81229752281433298</v>
      </c>
      <c r="G262">
        <v>6.5855100000000055E-2</v>
      </c>
      <c r="H262">
        <f t="shared" si="8"/>
        <v>8.8680599392907938E-3</v>
      </c>
      <c r="J262">
        <f t="shared" si="9"/>
        <v>2.0447950857204473</v>
      </c>
    </row>
    <row r="263" spans="1:10" x14ac:dyDescent="0.3">
      <c r="A263">
        <v>3</v>
      </c>
      <c r="B263">
        <v>2004</v>
      </c>
      <c r="C263">
        <v>0.82966846000000005</v>
      </c>
      <c r="D263">
        <v>0.83694842381555601</v>
      </c>
      <c r="G263">
        <v>6.6064800000000035E-2</v>
      </c>
      <c r="H263">
        <f t="shared" si="8"/>
        <v>5.2997873155804042E-5</v>
      </c>
      <c r="J263">
        <f t="shared" si="9"/>
        <v>1.2142781834040793E-2</v>
      </c>
    </row>
    <row r="264" spans="1:10" x14ac:dyDescent="0.3">
      <c r="A264">
        <v>3</v>
      </c>
      <c r="B264">
        <v>2005</v>
      </c>
      <c r="C264">
        <v>0.96916026</v>
      </c>
      <c r="D264">
        <v>0.86235936050434203</v>
      </c>
      <c r="G264">
        <v>6.2314439999999971E-2</v>
      </c>
      <c r="H264">
        <f t="shared" si="8"/>
        <v>1.1406432133081634E-2</v>
      </c>
      <c r="J264">
        <f t="shared" si="9"/>
        <v>2.9374631543569771</v>
      </c>
    </row>
    <row r="265" spans="1:10" x14ac:dyDescent="0.3">
      <c r="A265">
        <v>3</v>
      </c>
      <c r="B265">
        <v>2006</v>
      </c>
      <c r="C265">
        <v>0.93485045</v>
      </c>
      <c r="D265">
        <v>0.888543049915824</v>
      </c>
      <c r="G265">
        <v>6.1159370000000046E-2</v>
      </c>
      <c r="H265">
        <f t="shared" si="8"/>
        <v>2.1443753025559434E-3</v>
      </c>
      <c r="J265">
        <f t="shared" si="9"/>
        <v>0.57329055980929755</v>
      </c>
    </row>
    <row r="266" spans="1:10" x14ac:dyDescent="0.3">
      <c r="A266">
        <v>3</v>
      </c>
      <c r="B266">
        <v>2007</v>
      </c>
      <c r="C266">
        <v>0.95399909999999999</v>
      </c>
      <c r="D266">
        <v>0.91551220907967901</v>
      </c>
      <c r="G266">
        <v>6.0696299999999925E-2</v>
      </c>
      <c r="H266">
        <f t="shared" si="8"/>
        <v>1.4812407727126857E-3</v>
      </c>
      <c r="J266">
        <f t="shared" si="9"/>
        <v>0.40206958597390258</v>
      </c>
    </row>
    <row r="267" spans="1:10" x14ac:dyDescent="0.3">
      <c r="A267">
        <v>3</v>
      </c>
      <c r="B267">
        <v>2008</v>
      </c>
      <c r="C267">
        <v>0.82794760000000001</v>
      </c>
      <c r="D267">
        <v>0.94327955502740202</v>
      </c>
      <c r="G267">
        <v>6.598499999999996E-2</v>
      </c>
      <c r="H267">
        <f t="shared" si="8"/>
        <v>1.330145985044268E-2</v>
      </c>
      <c r="J267">
        <f t="shared" si="9"/>
        <v>3.0549834780436043</v>
      </c>
    </row>
    <row r="268" spans="1:10" x14ac:dyDescent="0.3">
      <c r="A268">
        <v>3</v>
      </c>
      <c r="B268">
        <v>2009</v>
      </c>
      <c r="C268">
        <v>0.95907940000000003</v>
      </c>
      <c r="D268">
        <v>0.97185780480322104</v>
      </c>
      <c r="G268">
        <v>6.3052039999999976E-2</v>
      </c>
      <c r="H268">
        <f t="shared" si="8"/>
        <v>1.632876293149818E-4</v>
      </c>
      <c r="J268">
        <f t="shared" si="9"/>
        <v>4.1072865120563282E-2</v>
      </c>
    </row>
    <row r="269" spans="1:10" x14ac:dyDescent="0.3">
      <c r="A269">
        <v>3</v>
      </c>
      <c r="B269">
        <v>2010</v>
      </c>
      <c r="C269">
        <v>1.0426692</v>
      </c>
      <c r="D269">
        <v>1.0012596754477201</v>
      </c>
      <c r="G269">
        <v>6.2591000000000063E-2</v>
      </c>
      <c r="H269">
        <f t="shared" si="8"/>
        <v>1.7147487236458688E-3</v>
      </c>
      <c r="J269">
        <f t="shared" si="9"/>
        <v>0.43770016248385685</v>
      </c>
    </row>
    <row r="270" spans="1:10" x14ac:dyDescent="0.3">
      <c r="A270">
        <v>3</v>
      </c>
      <c r="B270">
        <v>2011</v>
      </c>
      <c r="C270">
        <v>0.89999549999999995</v>
      </c>
      <c r="D270">
        <v>1.0314978839742199</v>
      </c>
      <c r="G270">
        <v>6.339311000000003E-2</v>
      </c>
      <c r="H270">
        <f t="shared" si="8"/>
        <v>1.7292876990903188E-2</v>
      </c>
      <c r="J270">
        <f t="shared" si="9"/>
        <v>4.3031168120974197</v>
      </c>
    </row>
    <row r="271" spans="1:10" x14ac:dyDescent="0.3">
      <c r="A271">
        <v>3</v>
      </c>
      <c r="B271">
        <v>2012</v>
      </c>
      <c r="C271">
        <v>0.93990479999999998</v>
      </c>
      <c r="D271">
        <v>1.0625851474305801</v>
      </c>
      <c r="G271">
        <v>6.5503599999999995E-2</v>
      </c>
      <c r="H271">
        <f t="shared" si="8"/>
        <v>1.505046764568784E-2</v>
      </c>
      <c r="J271">
        <f t="shared" si="9"/>
        <v>3.5076774965377249</v>
      </c>
    </row>
    <row r="272" spans="1:10" x14ac:dyDescent="0.3">
      <c r="A272">
        <v>3</v>
      </c>
      <c r="B272">
        <v>2013</v>
      </c>
      <c r="C272">
        <v>0.98587309999999995</v>
      </c>
      <c r="D272">
        <v>1.0945341828464701</v>
      </c>
      <c r="G272">
        <v>7.0183000000000106E-2</v>
      </c>
      <c r="H272">
        <f t="shared" si="8"/>
        <v>1.1807230925367446E-2</v>
      </c>
      <c r="J272">
        <f t="shared" si="9"/>
        <v>2.397089229223166</v>
      </c>
    </row>
    <row r="273" spans="1:11" x14ac:dyDescent="0.3">
      <c r="A273">
        <v>3</v>
      </c>
      <c r="B273">
        <v>2014</v>
      </c>
      <c r="C273">
        <v>1.0351694</v>
      </c>
      <c r="D273">
        <v>1.1273577072643</v>
      </c>
      <c r="G273">
        <v>6.7933499999999869E-2</v>
      </c>
      <c r="H273">
        <f t="shared" si="8"/>
        <v>8.4986839962569779E-3</v>
      </c>
      <c r="J273">
        <f t="shared" si="9"/>
        <v>1.8415507867158527</v>
      </c>
    </row>
    <row r="274" spans="1:11" x14ac:dyDescent="0.3">
      <c r="A274">
        <v>3</v>
      </c>
      <c r="B274">
        <v>2015</v>
      </c>
      <c r="C274">
        <v>1.1874121</v>
      </c>
      <c r="D274">
        <v>1.1610684377083</v>
      </c>
      <c r="G274">
        <v>6.7654600000000009E-2</v>
      </c>
      <c r="H274">
        <f t="shared" si="8"/>
        <v>6.9398854293913287E-4</v>
      </c>
      <c r="J274">
        <f t="shared" si="9"/>
        <v>0.15162040047350325</v>
      </c>
    </row>
    <row r="275" spans="1:11" x14ac:dyDescent="0.3">
      <c r="A275">
        <v>4</v>
      </c>
      <c r="B275">
        <v>1925</v>
      </c>
      <c r="C275">
        <v>8.0155770000000001E-2</v>
      </c>
      <c r="D275">
        <v>4.8810827080160303E-2</v>
      </c>
      <c r="G275">
        <v>0.22561889600000001</v>
      </c>
      <c r="H275">
        <f t="shared" si="8"/>
        <v>9.8250544664800878E-4</v>
      </c>
      <c r="J275">
        <f t="shared" si="9"/>
        <v>1.9301187382140879E-2</v>
      </c>
      <c r="K275">
        <f xml:space="preserve"> SUM(J275:J365)</f>
        <v>108.47809916496539</v>
      </c>
    </row>
    <row r="276" spans="1:11" x14ac:dyDescent="0.3">
      <c r="A276">
        <v>4</v>
      </c>
      <c r="B276">
        <v>1926</v>
      </c>
      <c r="C276">
        <v>0.23974274000000001</v>
      </c>
      <c r="D276">
        <v>8.39278604835271E-2</v>
      </c>
      <c r="G276">
        <v>0.21658418000000002</v>
      </c>
      <c r="H276">
        <f t="shared" si="8"/>
        <v>2.4278276678732971E-2</v>
      </c>
      <c r="J276">
        <f t="shared" si="9"/>
        <v>0.51756439726925973</v>
      </c>
    </row>
    <row r="277" spans="1:11" x14ac:dyDescent="0.3">
      <c r="A277">
        <v>4</v>
      </c>
      <c r="B277">
        <v>1927</v>
      </c>
      <c r="C277">
        <v>0.13318415</v>
      </c>
      <c r="D277">
        <v>0.115721879061311</v>
      </c>
      <c r="G277">
        <v>0.20616828800000001</v>
      </c>
      <c r="H277">
        <f t="shared" si="8"/>
        <v>3.0493090633618251E-4</v>
      </c>
      <c r="J277">
        <f t="shared" si="9"/>
        <v>7.1739395920992939E-3</v>
      </c>
    </row>
    <row r="278" spans="1:11" x14ac:dyDescent="0.3">
      <c r="A278">
        <v>4</v>
      </c>
      <c r="B278">
        <v>1928</v>
      </c>
      <c r="C278">
        <v>0.15583193000000001</v>
      </c>
      <c r="D278">
        <v>0.144369528628885</v>
      </c>
      <c r="G278">
        <v>0.22194212700000002</v>
      </c>
      <c r="H278">
        <f t="shared" si="8"/>
        <v>1.3138664519253928E-4</v>
      </c>
      <c r="J278">
        <f t="shared" si="9"/>
        <v>2.667299207542433E-3</v>
      </c>
    </row>
    <row r="279" spans="1:11" x14ac:dyDescent="0.3">
      <c r="A279">
        <v>4</v>
      </c>
      <c r="B279">
        <v>1929</v>
      </c>
      <c r="C279">
        <v>-3.0145284000000001E-2</v>
      </c>
      <c r="D279">
        <v>0.17004367569461401</v>
      </c>
      <c r="G279">
        <v>0.22083399999999997</v>
      </c>
      <c r="H279">
        <f t="shared" si="8"/>
        <v>4.0075619583611791E-2</v>
      </c>
      <c r="J279">
        <f t="shared" si="9"/>
        <v>0.82176637623256021</v>
      </c>
    </row>
    <row r="280" spans="1:11" x14ac:dyDescent="0.3">
      <c r="A280">
        <v>4</v>
      </c>
      <c r="B280">
        <v>1930</v>
      </c>
      <c r="C280">
        <v>0.18549231999999999</v>
      </c>
      <c r="D280">
        <v>0.19291342748328999</v>
      </c>
      <c r="G280">
        <v>0.22721205999999999</v>
      </c>
      <c r="H280">
        <f t="shared" si="8"/>
        <v>5.5072836278542859E-5</v>
      </c>
      <c r="J280">
        <f t="shared" si="9"/>
        <v>1.0667795580756247E-3</v>
      </c>
    </row>
    <row r="281" spans="1:11" x14ac:dyDescent="0.3">
      <c r="A281">
        <v>4</v>
      </c>
      <c r="B281">
        <v>1931</v>
      </c>
      <c r="C281">
        <v>0.25890007999999998</v>
      </c>
      <c r="D281">
        <v>0.213144116103649</v>
      </c>
      <c r="G281">
        <v>0.21858786000000002</v>
      </c>
      <c r="H281">
        <f t="shared" si="8"/>
        <v>2.0936082320841742E-3</v>
      </c>
      <c r="J281">
        <f t="shared" si="9"/>
        <v>4.3817070735036004E-2</v>
      </c>
    </row>
    <row r="282" spans="1:11" x14ac:dyDescent="0.3">
      <c r="A282">
        <v>4</v>
      </c>
      <c r="B282">
        <v>1932</v>
      </c>
      <c r="C282">
        <v>0.21683604000000001</v>
      </c>
      <c r="D282">
        <v>0.23089731158688601</v>
      </c>
      <c r="G282">
        <v>0.21298692999999999</v>
      </c>
      <c r="H282">
        <f t="shared" si="8"/>
        <v>1.9771935864016749E-4</v>
      </c>
      <c r="J282">
        <f t="shared" si="9"/>
        <v>4.3585625776963966E-3</v>
      </c>
    </row>
    <row r="283" spans="1:11" x14ac:dyDescent="0.3">
      <c r="A283">
        <v>4</v>
      </c>
      <c r="B283">
        <v>1933</v>
      </c>
      <c r="C283">
        <v>3.9953324999999998E-2</v>
      </c>
      <c r="D283">
        <v>0.24633080884814201</v>
      </c>
      <c r="G283">
        <v>0.20951196</v>
      </c>
      <c r="H283">
        <f t="shared" si="8"/>
        <v>4.2591665839490124E-2</v>
      </c>
      <c r="J283">
        <f t="shared" si="9"/>
        <v>0.97030213507157514</v>
      </c>
    </row>
    <row r="284" spans="1:11" x14ac:dyDescent="0.3">
      <c r="A284">
        <v>4</v>
      </c>
      <c r="B284">
        <v>1934</v>
      </c>
      <c r="C284">
        <v>0.18796089999999999</v>
      </c>
      <c r="D284">
        <v>0.25959863932803201</v>
      </c>
      <c r="G284">
        <v>0.19933419999999999</v>
      </c>
      <c r="H284">
        <f t="shared" si="8"/>
        <v>5.1319656960310657E-3</v>
      </c>
      <c r="J284">
        <f t="shared" si="9"/>
        <v>0.12915764262927978</v>
      </c>
    </row>
    <row r="285" spans="1:11" x14ac:dyDescent="0.3">
      <c r="A285">
        <v>4</v>
      </c>
      <c r="B285">
        <v>1935</v>
      </c>
      <c r="C285">
        <v>0.15623851</v>
      </c>
      <c r="D285">
        <v>0.27085106400772901</v>
      </c>
      <c r="G285">
        <v>0.19487621700000002</v>
      </c>
      <c r="H285">
        <f t="shared" si="8"/>
        <v>1.3136037536174601E-2</v>
      </c>
      <c r="J285">
        <f t="shared" si="9"/>
        <v>0.34589692408294442</v>
      </c>
    </row>
    <row r="286" spans="1:11" x14ac:dyDescent="0.3">
      <c r="A286">
        <v>4</v>
      </c>
      <c r="B286">
        <v>1936</v>
      </c>
      <c r="C286">
        <v>0.1927768</v>
      </c>
      <c r="D286">
        <v>0.28023457666858997</v>
      </c>
      <c r="G286">
        <v>0.18799661000000001</v>
      </c>
      <c r="H286">
        <f t="shared" si="8"/>
        <v>7.6488626998129612E-3</v>
      </c>
      <c r="J286">
        <f t="shared" si="9"/>
        <v>0.21641971917600422</v>
      </c>
    </row>
    <row r="287" spans="1:11" x14ac:dyDescent="0.3">
      <c r="A287">
        <v>4</v>
      </c>
      <c r="B287">
        <v>1937</v>
      </c>
      <c r="C287">
        <v>0.34309879999999998</v>
      </c>
      <c r="D287">
        <v>0.28789190109819102</v>
      </c>
      <c r="G287">
        <v>0.20111965000000001</v>
      </c>
      <c r="H287">
        <f t="shared" si="8"/>
        <v>3.0478016863545558E-3</v>
      </c>
      <c r="J287">
        <f t="shared" si="9"/>
        <v>7.5349035216923543E-2</v>
      </c>
    </row>
    <row r="288" spans="1:11" x14ac:dyDescent="0.3">
      <c r="A288">
        <v>4</v>
      </c>
      <c r="B288">
        <v>1938</v>
      </c>
      <c r="C288">
        <v>0.35009699999999999</v>
      </c>
      <c r="D288">
        <v>0.29396199574693999</v>
      </c>
      <c r="G288">
        <v>0.19620601999999998</v>
      </c>
      <c r="H288">
        <f t="shared" si="8"/>
        <v>3.1511387024910648E-3</v>
      </c>
      <c r="J288">
        <f t="shared" si="9"/>
        <v>8.1854557145414147E-2</v>
      </c>
    </row>
    <row r="289" spans="1:10" x14ac:dyDescent="0.3">
      <c r="A289">
        <v>4</v>
      </c>
      <c r="B289">
        <v>1939</v>
      </c>
      <c r="C289">
        <v>0.32150054</v>
      </c>
      <c r="D289">
        <v>0.29858004907146002</v>
      </c>
      <c r="G289">
        <v>0.21181498999999998</v>
      </c>
      <c r="H289">
        <f t="shared" si="8"/>
        <v>5.2534890440528365E-4</v>
      </c>
      <c r="J289">
        <f t="shared" si="9"/>
        <v>1.1709394761945597E-2</v>
      </c>
    </row>
    <row r="290" spans="1:10" x14ac:dyDescent="0.3">
      <c r="A290">
        <v>4</v>
      </c>
      <c r="B290">
        <v>1940</v>
      </c>
      <c r="C290">
        <v>0.43823355000000003</v>
      </c>
      <c r="D290">
        <v>0.30187747720628899</v>
      </c>
      <c r="G290">
        <v>0.23577104999999998</v>
      </c>
      <c r="H290">
        <f t="shared" si="8"/>
        <v>1.8592978587723824E-2</v>
      </c>
      <c r="J290">
        <f t="shared" si="9"/>
        <v>0.33447835136017035</v>
      </c>
    </row>
    <row r="291" spans="1:10" x14ac:dyDescent="0.3">
      <c r="A291">
        <v>4</v>
      </c>
      <c r="B291">
        <v>1941</v>
      </c>
      <c r="C291">
        <v>0.40042704000000001</v>
      </c>
      <c r="D291">
        <v>0.30398193607106799</v>
      </c>
      <c r="G291">
        <v>0.40076646999999999</v>
      </c>
      <c r="H291">
        <f t="shared" si="8"/>
        <v>9.3016580718624977E-3</v>
      </c>
      <c r="J291">
        <f t="shared" si="9"/>
        <v>5.7913206630248133E-2</v>
      </c>
    </row>
    <row r="292" spans="1:10" x14ac:dyDescent="0.3">
      <c r="A292">
        <v>4</v>
      </c>
      <c r="B292">
        <v>1942</v>
      </c>
      <c r="C292">
        <v>0.36370382000000001</v>
      </c>
      <c r="D292">
        <v>0.305017305538058</v>
      </c>
      <c r="G292">
        <v>0.39323698000000007</v>
      </c>
      <c r="H292">
        <f t="shared" si="8"/>
        <v>3.4441069796917285E-3</v>
      </c>
      <c r="J292">
        <f t="shared" si="9"/>
        <v>2.2272446717591033E-2</v>
      </c>
    </row>
    <row r="293" spans="1:10" x14ac:dyDescent="0.3">
      <c r="A293">
        <v>4</v>
      </c>
      <c r="B293">
        <v>1943</v>
      </c>
      <c r="C293">
        <v>0.36871934000000001</v>
      </c>
      <c r="D293">
        <v>0.30510370340198201</v>
      </c>
      <c r="G293">
        <v>0.41200937000000004</v>
      </c>
      <c r="H293">
        <f t="shared" si="8"/>
        <v>4.046949219771087E-3</v>
      </c>
      <c r="J293">
        <f t="shared" si="9"/>
        <v>2.3840401715507917E-2</v>
      </c>
    </row>
    <row r="294" spans="1:10" x14ac:dyDescent="0.3">
      <c r="A294">
        <v>4</v>
      </c>
      <c r="B294">
        <v>1944</v>
      </c>
      <c r="C294">
        <v>0.50640289999999999</v>
      </c>
      <c r="D294">
        <v>0.30435747280716802</v>
      </c>
      <c r="G294">
        <v>0.39719992000000004</v>
      </c>
      <c r="H294">
        <f t="shared" si="8"/>
        <v>4.0822354649533966E-2</v>
      </c>
      <c r="J294">
        <f t="shared" si="9"/>
        <v>0.25874963549978969</v>
      </c>
    </row>
    <row r="295" spans="1:10" x14ac:dyDescent="0.3">
      <c r="A295">
        <v>4</v>
      </c>
      <c r="B295">
        <v>1945</v>
      </c>
      <c r="C295">
        <v>0.40538610000000003</v>
      </c>
      <c r="D295">
        <v>0.30289119621738703</v>
      </c>
      <c r="G295">
        <v>0.40074251999999999</v>
      </c>
      <c r="H295">
        <f t="shared" si="8"/>
        <v>1.0505205301407097E-2</v>
      </c>
      <c r="J295">
        <f t="shared" si="9"/>
        <v>6.5414450038220079E-2</v>
      </c>
    </row>
    <row r="296" spans="1:10" x14ac:dyDescent="0.3">
      <c r="A296">
        <v>4</v>
      </c>
      <c r="B296">
        <v>1946</v>
      </c>
      <c r="C296">
        <v>0.24348313999999999</v>
      </c>
      <c r="D296">
        <v>0.30081368004903197</v>
      </c>
      <c r="G296">
        <v>0.29427287000000002</v>
      </c>
      <c r="H296">
        <f t="shared" si="8"/>
        <v>3.2867908223136607E-3</v>
      </c>
      <c r="J296">
        <f t="shared" si="9"/>
        <v>3.7955228982857594E-2</v>
      </c>
    </row>
    <row r="297" spans="1:10" x14ac:dyDescent="0.3">
      <c r="A297">
        <v>4</v>
      </c>
      <c r="B297">
        <v>1947</v>
      </c>
      <c r="C297">
        <v>0.27109214999999998</v>
      </c>
      <c r="D297">
        <v>0.29822996584698502</v>
      </c>
      <c r="G297">
        <v>0.28116972000000001</v>
      </c>
      <c r="H297">
        <f t="shared" si="8"/>
        <v>7.3646104894487278E-4</v>
      </c>
      <c r="J297">
        <f t="shared" si="9"/>
        <v>9.3156397499571005E-3</v>
      </c>
    </row>
    <row r="298" spans="1:10" x14ac:dyDescent="0.3">
      <c r="A298">
        <v>4</v>
      </c>
      <c r="B298">
        <v>1948</v>
      </c>
      <c r="C298">
        <v>0.23763648000000001</v>
      </c>
      <c r="D298">
        <v>0.29524132888764099</v>
      </c>
      <c r="G298">
        <v>0.26894422000000001</v>
      </c>
      <c r="H298">
        <f t="shared" si="8"/>
        <v>3.3183186153679517E-3</v>
      </c>
      <c r="J298">
        <f t="shared" si="9"/>
        <v>4.5876856601999305E-2</v>
      </c>
    </row>
    <row r="299" spans="1:10" x14ac:dyDescent="0.3">
      <c r="A299">
        <v>4</v>
      </c>
      <c r="B299">
        <v>1949</v>
      </c>
      <c r="C299">
        <v>0.21849552</v>
      </c>
      <c r="D299">
        <v>0.29194527212530302</v>
      </c>
      <c r="G299">
        <v>0.22055050999999998</v>
      </c>
      <c r="H299">
        <f t="shared" si="8"/>
        <v>5.3948660872684562E-3</v>
      </c>
      <c r="J299">
        <f t="shared" si="9"/>
        <v>0.1109084245584286</v>
      </c>
    </row>
    <row r="300" spans="1:10" x14ac:dyDescent="0.3">
      <c r="A300">
        <v>4</v>
      </c>
      <c r="B300">
        <v>1950</v>
      </c>
      <c r="C300">
        <v>0.13567593999999999</v>
      </c>
      <c r="D300">
        <v>0.288435532245785</v>
      </c>
      <c r="G300">
        <v>0.21207035199999999</v>
      </c>
      <c r="H300">
        <f t="shared" si="8"/>
        <v>2.3335493023098498E-2</v>
      </c>
      <c r="J300">
        <f t="shared" si="9"/>
        <v>0.51886821391905091</v>
      </c>
    </row>
    <row r="301" spans="1:10" x14ac:dyDescent="0.3">
      <c r="A301">
        <v>4</v>
      </c>
      <c r="B301">
        <v>1951</v>
      </c>
      <c r="C301">
        <v>0.30114380000000002</v>
      </c>
      <c r="D301">
        <v>0.28480207733809898</v>
      </c>
      <c r="G301">
        <v>0.17839253999999999</v>
      </c>
      <c r="H301">
        <f t="shared" si="8"/>
        <v>2.670518995584899E-4</v>
      </c>
      <c r="J301">
        <f t="shared" si="9"/>
        <v>8.391552059681201E-3</v>
      </c>
    </row>
    <row r="302" spans="1:10" x14ac:dyDescent="0.3">
      <c r="A302">
        <v>4</v>
      </c>
      <c r="B302">
        <v>1952</v>
      </c>
      <c r="C302">
        <v>0.3776523</v>
      </c>
      <c r="D302">
        <v>0.28113110782578499</v>
      </c>
      <c r="G302">
        <v>0.19658106999999997</v>
      </c>
      <c r="H302">
        <f t="shared" si="8"/>
        <v>9.3163405387317443E-3</v>
      </c>
      <c r="J302">
        <f t="shared" si="9"/>
        <v>0.24108043454272751</v>
      </c>
    </row>
    <row r="303" spans="1:10" x14ac:dyDescent="0.3">
      <c r="A303">
        <v>4</v>
      </c>
      <c r="B303">
        <v>1953</v>
      </c>
      <c r="C303">
        <v>0.4399285</v>
      </c>
      <c r="D303">
        <v>0.27750505367293898</v>
      </c>
      <c r="G303">
        <v>0.19632071000000001</v>
      </c>
      <c r="H303">
        <f t="shared" si="8"/>
        <v>2.638137591675967E-2</v>
      </c>
      <c r="J303">
        <f t="shared" si="9"/>
        <v>0.68448700950170682</v>
      </c>
    </row>
    <row r="304" spans="1:10" x14ac:dyDescent="0.3">
      <c r="A304">
        <v>4</v>
      </c>
      <c r="B304">
        <v>1954</v>
      </c>
      <c r="C304">
        <v>0.24554751999999999</v>
      </c>
      <c r="D304">
        <v>0.27400258136913103</v>
      </c>
      <c r="G304">
        <v>0.18350500999999997</v>
      </c>
      <c r="H304">
        <f t="shared" si="8"/>
        <v>8.0969051752101341E-4</v>
      </c>
      <c r="J304">
        <f t="shared" si="9"/>
        <v>2.4044912539498996E-2</v>
      </c>
    </row>
    <row r="305" spans="1:10" x14ac:dyDescent="0.3">
      <c r="A305">
        <v>4</v>
      </c>
      <c r="B305">
        <v>1955</v>
      </c>
      <c r="C305">
        <v>0.16498779999999999</v>
      </c>
      <c r="D305">
        <v>0.27069858042523198</v>
      </c>
      <c r="G305">
        <v>0.17424004999999998</v>
      </c>
      <c r="H305">
        <f t="shared" si="8"/>
        <v>1.1174769098111612E-2</v>
      </c>
      <c r="J305">
        <f t="shared" si="9"/>
        <v>0.36808030835973821</v>
      </c>
    </row>
    <row r="306" spans="1:10" x14ac:dyDescent="0.3">
      <c r="A306">
        <v>4</v>
      </c>
      <c r="B306">
        <v>1956</v>
      </c>
      <c r="C306">
        <v>9.9132129999999999E-2</v>
      </c>
      <c r="D306">
        <v>0.26766418199986203</v>
      </c>
      <c r="G306">
        <v>0.15192007599999999</v>
      </c>
      <c r="H306">
        <f t="shared" si="8"/>
        <v>2.8403052551284204E-2</v>
      </c>
      <c r="J306">
        <f t="shared" si="9"/>
        <v>1.2306503494473882</v>
      </c>
    </row>
    <row r="307" spans="1:10" x14ac:dyDescent="0.3">
      <c r="A307">
        <v>4</v>
      </c>
      <c r="B307">
        <v>1957</v>
      </c>
      <c r="C307">
        <v>0.32696282999999998</v>
      </c>
      <c r="D307">
        <v>0.26496674073859999</v>
      </c>
      <c r="G307">
        <v>0.13046738999999996</v>
      </c>
      <c r="H307">
        <f t="shared" si="8"/>
        <v>3.843515083707475E-3</v>
      </c>
      <c r="J307">
        <f t="shared" si="9"/>
        <v>0.22580036569745979</v>
      </c>
    </row>
    <row r="308" spans="1:10" x14ac:dyDescent="0.3">
      <c r="A308">
        <v>4</v>
      </c>
      <c r="B308">
        <v>1958</v>
      </c>
      <c r="C308">
        <v>0.3446652</v>
      </c>
      <c r="D308">
        <v>0.262669849675148</v>
      </c>
      <c r="G308">
        <v>0.13088402999999998</v>
      </c>
      <c r="H308">
        <f t="shared" si="8"/>
        <v>6.7232374748952073E-3</v>
      </c>
      <c r="J308">
        <f t="shared" si="9"/>
        <v>0.39246879689042935</v>
      </c>
    </row>
    <row r="309" spans="1:10" x14ac:dyDescent="0.3">
      <c r="A309">
        <v>4</v>
      </c>
      <c r="B309">
        <v>1959</v>
      </c>
      <c r="C309">
        <v>0.31429294000000002</v>
      </c>
      <c r="D309">
        <v>0.26083332719281299</v>
      </c>
      <c r="G309">
        <v>0.12471783000000003</v>
      </c>
      <c r="H309">
        <f t="shared" si="8"/>
        <v>2.8579302014943553E-3</v>
      </c>
      <c r="J309">
        <f t="shared" si="9"/>
        <v>0.18373611374371082</v>
      </c>
    </row>
    <row r="310" spans="1:10" x14ac:dyDescent="0.3">
      <c r="A310">
        <v>4</v>
      </c>
      <c r="B310">
        <v>1960</v>
      </c>
      <c r="C310">
        <v>0.24683817</v>
      </c>
      <c r="D310">
        <v>0.25951322633773</v>
      </c>
      <c r="G310">
        <v>0.11735596999999998</v>
      </c>
      <c r="H310">
        <f t="shared" si="8"/>
        <v>1.6065705316462947E-4</v>
      </c>
      <c r="J310">
        <f t="shared" si="9"/>
        <v>1.1665125668994929E-2</v>
      </c>
    </row>
    <row r="311" spans="1:10" x14ac:dyDescent="0.3">
      <c r="A311">
        <v>4</v>
      </c>
      <c r="B311">
        <v>1961</v>
      </c>
      <c r="C311">
        <v>0.34229797000000001</v>
      </c>
      <c r="D311">
        <v>0.25876183388754698</v>
      </c>
      <c r="G311">
        <v>0.10156016000000001</v>
      </c>
      <c r="H311">
        <f t="shared" si="8"/>
        <v>6.9782860365982793E-3</v>
      </c>
      <c r="J311">
        <f t="shared" si="9"/>
        <v>0.6765532960665992</v>
      </c>
    </row>
    <row r="312" spans="1:10" x14ac:dyDescent="0.3">
      <c r="A312">
        <v>4</v>
      </c>
      <c r="B312">
        <v>1962</v>
      </c>
      <c r="C312">
        <v>0.29825502999999998</v>
      </c>
      <c r="D312">
        <v>0.258627662900835</v>
      </c>
      <c r="G312">
        <v>0.10653303000000003</v>
      </c>
      <c r="H312">
        <f t="shared" si="8"/>
        <v>1.5703282232119829E-3</v>
      </c>
      <c r="J312">
        <f t="shared" si="9"/>
        <v>0.1383636077777694</v>
      </c>
    </row>
    <row r="313" spans="1:10" x14ac:dyDescent="0.3">
      <c r="A313">
        <v>4</v>
      </c>
      <c r="B313">
        <v>1963</v>
      </c>
      <c r="C313">
        <v>0.32548714000000001</v>
      </c>
      <c r="D313">
        <v>0.25915546575561099</v>
      </c>
      <c r="G313">
        <v>0.10753833000000002</v>
      </c>
      <c r="H313">
        <f t="shared" si="8"/>
        <v>4.399891008063741E-3</v>
      </c>
      <c r="J313">
        <f t="shared" si="9"/>
        <v>0.38046555340059929</v>
      </c>
    </row>
    <row r="314" spans="1:10" x14ac:dyDescent="0.3">
      <c r="A314">
        <v>4</v>
      </c>
      <c r="B314">
        <v>1964</v>
      </c>
      <c r="C314">
        <v>5.6436214999999998E-2</v>
      </c>
      <c r="D314">
        <v>0.260386218782514</v>
      </c>
      <c r="G314">
        <v>8.726594E-2</v>
      </c>
      <c r="H314">
        <f t="shared" si="8"/>
        <v>4.1595604042887473E-2</v>
      </c>
      <c r="J314">
        <f t="shared" si="9"/>
        <v>5.4620779430582136</v>
      </c>
    </row>
    <row r="315" spans="1:10" x14ac:dyDescent="0.3">
      <c r="A315">
        <v>4</v>
      </c>
      <c r="B315">
        <v>1965</v>
      </c>
      <c r="C315">
        <v>0.15787726999999999</v>
      </c>
      <c r="D315">
        <v>0.26235713390633397</v>
      </c>
      <c r="G315">
        <v>9.838044E-2</v>
      </c>
      <c r="H315">
        <f t="shared" si="8"/>
        <v>1.091604196188607E-2</v>
      </c>
      <c r="J315">
        <f t="shared" si="9"/>
        <v>1.127840472821271</v>
      </c>
    </row>
    <row r="316" spans="1:10" x14ac:dyDescent="0.3">
      <c r="A316">
        <v>4</v>
      </c>
      <c r="B316">
        <v>1966</v>
      </c>
      <c r="C316">
        <v>0.21340013999999999</v>
      </c>
      <c r="D316">
        <v>0.26510165538638802</v>
      </c>
      <c r="G316">
        <v>9.9023140000000037E-2</v>
      </c>
      <c r="H316">
        <f t="shared" si="8"/>
        <v>2.6730466932489189E-3</v>
      </c>
      <c r="J316">
        <f t="shared" si="9"/>
        <v>0.27260458620502676</v>
      </c>
    </row>
    <row r="317" spans="1:10" x14ac:dyDescent="0.3">
      <c r="A317">
        <v>4</v>
      </c>
      <c r="B317">
        <v>1967</v>
      </c>
      <c r="C317">
        <v>0.24475846000000001</v>
      </c>
      <c r="D317">
        <v>0.26864945655688599</v>
      </c>
      <c r="G317">
        <v>8.6234999999999978E-2</v>
      </c>
      <c r="H317">
        <f t="shared" si="8"/>
        <v>5.7077971648113776E-4</v>
      </c>
      <c r="J317">
        <f t="shared" si="9"/>
        <v>7.6754066841006385E-2</v>
      </c>
    </row>
    <row r="318" spans="1:10" x14ac:dyDescent="0.3">
      <c r="A318">
        <v>4</v>
      </c>
      <c r="B318">
        <v>1968</v>
      </c>
      <c r="C318">
        <v>0.19365019</v>
      </c>
      <c r="D318">
        <v>0.27302644215524102</v>
      </c>
      <c r="G318">
        <v>8.9255870000000015E-2</v>
      </c>
      <c r="H318">
        <f t="shared" si="8"/>
        <v>6.3005894062124054E-3</v>
      </c>
      <c r="J318">
        <f t="shared" si="9"/>
        <v>0.79087455588428746</v>
      </c>
    </row>
    <row r="319" spans="1:10" x14ac:dyDescent="0.3">
      <c r="A319">
        <v>4</v>
      </c>
      <c r="B319">
        <v>1969</v>
      </c>
      <c r="C319">
        <v>0.33091152000000001</v>
      </c>
      <c r="D319">
        <v>0.27825475344434297</v>
      </c>
      <c r="G319">
        <v>8.1010250000000006E-2</v>
      </c>
      <c r="H319">
        <f t="shared" si="8"/>
        <v>2.7727350640969618E-3</v>
      </c>
      <c r="J319">
        <f t="shared" si="9"/>
        <v>0.42250166981940934</v>
      </c>
    </row>
    <row r="320" spans="1:10" x14ac:dyDescent="0.3">
      <c r="A320">
        <v>4</v>
      </c>
      <c r="B320">
        <v>1970</v>
      </c>
      <c r="C320">
        <v>0.27723365999999999</v>
      </c>
      <c r="D320">
        <v>0.28435275657102399</v>
      </c>
      <c r="G320">
        <v>8.1977119999999987E-2</v>
      </c>
      <c r="H320">
        <f t="shared" si="8"/>
        <v>5.0681535987565635E-5</v>
      </c>
      <c r="J320">
        <f t="shared" si="9"/>
        <v>7.5416166863021862E-3</v>
      </c>
    </row>
    <row r="321" spans="1:10" x14ac:dyDescent="0.3">
      <c r="A321">
        <v>4</v>
      </c>
      <c r="B321">
        <v>1971</v>
      </c>
      <c r="C321">
        <v>0.15640870000000001</v>
      </c>
      <c r="D321">
        <v>0.29133505607023802</v>
      </c>
      <c r="G321">
        <v>7.7166373999999996E-2</v>
      </c>
      <c r="H321">
        <f t="shared" si="8"/>
        <v>1.8205121562392651E-2</v>
      </c>
      <c r="J321">
        <f t="shared" si="9"/>
        <v>3.0572953532001415</v>
      </c>
    </row>
    <row r="322" spans="1:10" x14ac:dyDescent="0.3">
      <c r="A322">
        <v>4</v>
      </c>
      <c r="B322">
        <v>1972</v>
      </c>
      <c r="C322">
        <v>0.26850644000000001</v>
      </c>
      <c r="D322">
        <v>0.29921248275786599</v>
      </c>
      <c r="G322">
        <v>7.5784360000000023E-2</v>
      </c>
      <c r="H322">
        <f t="shared" ref="H322:H385" si="10">(C322-D322)^2</f>
        <v>9.4286106184789391E-4</v>
      </c>
      <c r="J322">
        <f t="shared" si="9"/>
        <v>0.16416800704108672</v>
      </c>
    </row>
    <row r="323" spans="1:10" x14ac:dyDescent="0.3">
      <c r="A323">
        <v>4</v>
      </c>
      <c r="B323">
        <v>1973</v>
      </c>
      <c r="C323">
        <v>0.4122479</v>
      </c>
      <c r="D323">
        <v>0.30799210071563698</v>
      </c>
      <c r="G323">
        <v>7.2942280000000026E-2</v>
      </c>
      <c r="H323">
        <f t="shared" si="10"/>
        <v>1.0869271684421387E-2</v>
      </c>
      <c r="J323">
        <f t="shared" ref="J323:J386" si="11">H323/(G323^2)</f>
        <v>2.0428749165790161</v>
      </c>
    </row>
    <row r="324" spans="1:10" x14ac:dyDescent="0.3">
      <c r="A324">
        <v>4</v>
      </c>
      <c r="B324">
        <v>1974</v>
      </c>
      <c r="C324">
        <v>0.18977118000000001</v>
      </c>
      <c r="D324">
        <v>0.31767720822244799</v>
      </c>
      <c r="G324">
        <v>7.539816000000002E-2</v>
      </c>
      <c r="H324">
        <f t="shared" si="10"/>
        <v>1.6359952055641658E-2</v>
      </c>
      <c r="J324">
        <f t="shared" si="11"/>
        <v>2.8777994910748266</v>
      </c>
    </row>
    <row r="325" spans="1:10" x14ac:dyDescent="0.3">
      <c r="A325">
        <v>4</v>
      </c>
      <c r="B325">
        <v>1975</v>
      </c>
      <c r="C325">
        <v>0.25154352000000002</v>
      </c>
      <c r="D325">
        <v>0.328267332166433</v>
      </c>
      <c r="G325">
        <v>8.110176999999999E-2</v>
      </c>
      <c r="H325">
        <f t="shared" si="10"/>
        <v>5.8865433533500898E-3</v>
      </c>
      <c r="J325">
        <f t="shared" si="11"/>
        <v>0.89495187400630072</v>
      </c>
    </row>
    <row r="326" spans="1:10" x14ac:dyDescent="0.3">
      <c r="A326">
        <v>4</v>
      </c>
      <c r="B326">
        <v>1976</v>
      </c>
      <c r="C326">
        <v>0.14646085</v>
      </c>
      <c r="D326">
        <v>0.33975823037326303</v>
      </c>
      <c r="G326">
        <v>8.0047466000000012E-2</v>
      </c>
      <c r="H326">
        <f t="shared" si="10"/>
        <v>3.7363877259165929E-2</v>
      </c>
      <c r="J326">
        <f t="shared" si="11"/>
        <v>5.8311841942422404</v>
      </c>
    </row>
    <row r="327" spans="1:10" x14ac:dyDescent="0.3">
      <c r="A327">
        <v>4</v>
      </c>
      <c r="B327">
        <v>1977</v>
      </c>
      <c r="C327">
        <v>0.46538624000000001</v>
      </c>
      <c r="D327">
        <v>0.35214189533144202</v>
      </c>
      <c r="G327">
        <v>8.6063669999999981E-2</v>
      </c>
      <c r="H327">
        <f t="shared" si="10"/>
        <v>1.2824281599411158E-2</v>
      </c>
      <c r="J327">
        <f t="shared" si="11"/>
        <v>1.7313836914914891</v>
      </c>
    </row>
    <row r="328" spans="1:10" x14ac:dyDescent="0.3">
      <c r="A328">
        <v>4</v>
      </c>
      <c r="B328">
        <v>1978</v>
      </c>
      <c r="C328">
        <v>0.36755369999999998</v>
      </c>
      <c r="D328">
        <v>0.36540655046701398</v>
      </c>
      <c r="G328">
        <v>7.9705179999999987E-2</v>
      </c>
      <c r="H328">
        <f t="shared" si="10"/>
        <v>4.6102511170020127E-6</v>
      </c>
      <c r="J328">
        <f t="shared" si="11"/>
        <v>7.2569058382681185E-4</v>
      </c>
    </row>
    <row r="329" spans="1:10" x14ac:dyDescent="0.3">
      <c r="A329">
        <v>4</v>
      </c>
      <c r="B329">
        <v>1979</v>
      </c>
      <c r="C329">
        <v>0.45315588000000001</v>
      </c>
      <c r="D329">
        <v>0.37953664967790202</v>
      </c>
      <c r="G329">
        <v>5.6999040000000001E-2</v>
      </c>
      <c r="H329">
        <f t="shared" si="10"/>
        <v>5.4197910732181132E-3</v>
      </c>
      <c r="J329">
        <f t="shared" si="11"/>
        <v>1.6681974882160089</v>
      </c>
    </row>
    <row r="330" spans="1:10" x14ac:dyDescent="0.3">
      <c r="A330">
        <v>4</v>
      </c>
      <c r="B330">
        <v>1980</v>
      </c>
      <c r="C330">
        <v>0.55836980000000003</v>
      </c>
      <c r="D330">
        <v>0.39451287966221499</v>
      </c>
      <c r="G330">
        <v>6.6536150000000016E-2</v>
      </c>
      <c r="H330">
        <f t="shared" si="10"/>
        <v>2.6849090342583232E-2</v>
      </c>
      <c r="J330">
        <f t="shared" si="11"/>
        <v>6.0647686839082473</v>
      </c>
    </row>
    <row r="331" spans="1:10" x14ac:dyDescent="0.3">
      <c r="A331">
        <v>4</v>
      </c>
      <c r="B331">
        <v>1981</v>
      </c>
      <c r="C331">
        <v>0.61230980000000002</v>
      </c>
      <c r="D331">
        <v>0.41031215572729701</v>
      </c>
      <c r="G331">
        <v>6.1241569999999967E-2</v>
      </c>
      <c r="H331">
        <f t="shared" si="10"/>
        <v>4.0803048291721461E-2</v>
      </c>
      <c r="J331">
        <f t="shared" si="11"/>
        <v>10.879275575041421</v>
      </c>
    </row>
    <row r="332" spans="1:10" x14ac:dyDescent="0.3">
      <c r="A332">
        <v>4</v>
      </c>
      <c r="B332">
        <v>1982</v>
      </c>
      <c r="C332">
        <v>0.39656603000000001</v>
      </c>
      <c r="D332">
        <v>0.42690763063728798</v>
      </c>
      <c r="G332">
        <v>7.8753829999999969E-2</v>
      </c>
      <c r="H332">
        <f t="shared" si="10"/>
        <v>9.2061272923267372E-4</v>
      </c>
      <c r="J332">
        <f t="shared" si="11"/>
        <v>0.14843407414033746</v>
      </c>
    </row>
    <row r="333" spans="1:10" x14ac:dyDescent="0.3">
      <c r="A333">
        <v>4</v>
      </c>
      <c r="B333">
        <v>1983</v>
      </c>
      <c r="C333">
        <v>0.58610759999999995</v>
      </c>
      <c r="D333">
        <v>0.44426868343725801</v>
      </c>
      <c r="G333">
        <v>7.1531040000000101E-2</v>
      </c>
      <c r="H333">
        <f t="shared" si="10"/>
        <v>2.0118278251692472E-2</v>
      </c>
      <c r="J333">
        <f t="shared" si="11"/>
        <v>3.9318933717323139</v>
      </c>
    </row>
    <row r="334" spans="1:10" x14ac:dyDescent="0.3">
      <c r="A334">
        <v>4</v>
      </c>
      <c r="B334">
        <v>1984</v>
      </c>
      <c r="C334">
        <v>0.41029125</v>
      </c>
      <c r="D334">
        <v>0.46236092783510602</v>
      </c>
      <c r="G334">
        <v>7.2906699999999991E-2</v>
      </c>
      <c r="H334">
        <f t="shared" si="10"/>
        <v>2.7112513498517314E-3</v>
      </c>
      <c r="J334">
        <f t="shared" si="11"/>
        <v>0.51007601109101963</v>
      </c>
    </row>
    <row r="335" spans="1:10" x14ac:dyDescent="0.3">
      <c r="A335">
        <v>4</v>
      </c>
      <c r="B335">
        <v>1985</v>
      </c>
      <c r="C335">
        <v>0.41202748</v>
      </c>
      <c r="D335">
        <v>0.48114620568230698</v>
      </c>
      <c r="G335">
        <v>6.8132599999999988E-2</v>
      </c>
      <c r="H335">
        <f t="shared" si="10"/>
        <v>4.7773982399460027E-3</v>
      </c>
      <c r="J335">
        <f t="shared" si="11"/>
        <v>1.0291567352140938</v>
      </c>
    </row>
    <row r="336" spans="1:10" x14ac:dyDescent="0.3">
      <c r="A336">
        <v>4</v>
      </c>
      <c r="B336">
        <v>1986</v>
      </c>
      <c r="C336">
        <v>0.45798472000000001</v>
      </c>
      <c r="D336">
        <v>0.50058259861543697</v>
      </c>
      <c r="G336">
        <v>6.2557950000000029E-2</v>
      </c>
      <c r="H336">
        <f t="shared" si="10"/>
        <v>1.8145792625355011E-3</v>
      </c>
      <c r="J336">
        <f t="shared" si="11"/>
        <v>0.46367205912385356</v>
      </c>
    </row>
    <row r="337" spans="1:10" x14ac:dyDescent="0.3">
      <c r="A337">
        <v>4</v>
      </c>
      <c r="B337">
        <v>1987</v>
      </c>
      <c r="C337">
        <v>0.60532414999999995</v>
      </c>
      <c r="D337">
        <v>0.52062440803274501</v>
      </c>
      <c r="G337">
        <v>6.168169999999995E-2</v>
      </c>
      <c r="H337">
        <f t="shared" si="10"/>
        <v>7.1740462893195673E-3</v>
      </c>
      <c r="J337">
        <f t="shared" si="11"/>
        <v>1.8856084038303913</v>
      </c>
    </row>
    <row r="338" spans="1:10" x14ac:dyDescent="0.3">
      <c r="A338">
        <v>4</v>
      </c>
      <c r="B338">
        <v>1988</v>
      </c>
      <c r="C338">
        <v>0.64444950000000001</v>
      </c>
      <c r="D338">
        <v>0.54122217744588796</v>
      </c>
      <c r="G338">
        <v>7.0232859999999953E-2</v>
      </c>
      <c r="H338">
        <f t="shared" si="10"/>
        <v>1.0655880121690688E-2</v>
      </c>
      <c r="J338">
        <f t="shared" si="11"/>
        <v>2.1602729026111573</v>
      </c>
    </row>
    <row r="339" spans="1:10" x14ac:dyDescent="0.3">
      <c r="A339">
        <v>4</v>
      </c>
      <c r="B339">
        <v>1989</v>
      </c>
      <c r="C339">
        <v>0.54154809999999998</v>
      </c>
      <c r="D339">
        <v>0.56232267571613104</v>
      </c>
      <c r="G339">
        <v>6.9503699999999946E-2</v>
      </c>
      <c r="H339">
        <f t="shared" si="10"/>
        <v>4.3158299618526239E-4</v>
      </c>
      <c r="J339">
        <f t="shared" si="11"/>
        <v>8.9340520083372996E-2</v>
      </c>
    </row>
    <row r="340" spans="1:10" x14ac:dyDescent="0.3">
      <c r="A340">
        <v>4</v>
      </c>
      <c r="B340">
        <v>1990</v>
      </c>
      <c r="C340">
        <v>0.72288010000000003</v>
      </c>
      <c r="D340">
        <v>0.58386890683323101</v>
      </c>
      <c r="G340">
        <v>7.2027339999999995E-2</v>
      </c>
      <c r="H340">
        <f t="shared" si="10"/>
        <v>1.932411182564877E-2</v>
      </c>
      <c r="J340">
        <f t="shared" si="11"/>
        <v>3.7248157004282341</v>
      </c>
    </row>
    <row r="341" spans="1:10" x14ac:dyDescent="0.3">
      <c r="A341">
        <v>4</v>
      </c>
      <c r="B341">
        <v>1991</v>
      </c>
      <c r="C341">
        <v>0.70119430000000005</v>
      </c>
      <c r="D341">
        <v>0.60580010432749898</v>
      </c>
      <c r="G341">
        <v>6.9720759999999937E-2</v>
      </c>
      <c r="H341">
        <f t="shared" si="10"/>
        <v>9.1000525680034212E-3</v>
      </c>
      <c r="J341">
        <f t="shared" si="11"/>
        <v>1.8720596212666023</v>
      </c>
    </row>
    <row r="342" spans="1:10" x14ac:dyDescent="0.3">
      <c r="A342">
        <v>4</v>
      </c>
      <c r="B342">
        <v>1992</v>
      </c>
      <c r="C342">
        <v>0.48719456999999999</v>
      </c>
      <c r="D342">
        <v>0.62805173452943497</v>
      </c>
      <c r="G342">
        <v>6.8029430000000002E-2</v>
      </c>
      <c r="H342">
        <f t="shared" si="10"/>
        <v>1.9840740799272314E-2</v>
      </c>
      <c r="J342">
        <f t="shared" si="11"/>
        <v>4.2871059753846721</v>
      </c>
    </row>
    <row r="343" spans="1:10" x14ac:dyDescent="0.3">
      <c r="A343">
        <v>4</v>
      </c>
      <c r="B343">
        <v>1993</v>
      </c>
      <c r="C343">
        <v>0.52800493999999998</v>
      </c>
      <c r="D343">
        <v>0.65055549563839998</v>
      </c>
      <c r="G343">
        <v>7.4980899999999961E-2</v>
      </c>
      <c r="H343">
        <f t="shared" si="10"/>
        <v>1.5018638687280575E-2</v>
      </c>
      <c r="J343">
        <f t="shared" si="11"/>
        <v>2.6713406406549844</v>
      </c>
    </row>
    <row r="344" spans="1:10" x14ac:dyDescent="0.3">
      <c r="A344">
        <v>4</v>
      </c>
      <c r="B344">
        <v>1994</v>
      </c>
      <c r="C344">
        <v>0.59584755</v>
      </c>
      <c r="D344">
        <v>0.67323931539431203</v>
      </c>
      <c r="G344">
        <v>7.0273669999999955E-2</v>
      </c>
      <c r="H344">
        <f t="shared" si="10"/>
        <v>5.9894853508482325E-3</v>
      </c>
      <c r="J344">
        <f t="shared" si="11"/>
        <v>1.2128420261018167</v>
      </c>
    </row>
    <row r="345" spans="1:10" x14ac:dyDescent="0.3">
      <c r="A345">
        <v>4</v>
      </c>
      <c r="B345">
        <v>1995</v>
      </c>
      <c r="C345">
        <v>0.73916389999999998</v>
      </c>
      <c r="D345">
        <v>0.69602735713124197</v>
      </c>
      <c r="G345">
        <v>6.6420759999999968E-2</v>
      </c>
      <c r="H345">
        <f t="shared" si="10"/>
        <v>1.8607613306681975E-3</v>
      </c>
      <c r="J345">
        <f t="shared" si="11"/>
        <v>0.42177709478184344</v>
      </c>
    </row>
    <row r="346" spans="1:10" x14ac:dyDescent="0.3">
      <c r="A346">
        <v>4</v>
      </c>
      <c r="B346">
        <v>1996</v>
      </c>
      <c r="C346">
        <v>0.63898710000000003</v>
      </c>
      <c r="D346">
        <v>0.71884000953286797</v>
      </c>
      <c r="G346">
        <v>6.7018750000000016E-2</v>
      </c>
      <c r="H346">
        <f t="shared" si="10"/>
        <v>6.3764871608643922E-3</v>
      </c>
      <c r="J346">
        <f t="shared" si="11"/>
        <v>1.4196747001728265</v>
      </c>
    </row>
    <row r="347" spans="1:10" x14ac:dyDescent="0.3">
      <c r="A347">
        <v>4</v>
      </c>
      <c r="B347">
        <v>1997</v>
      </c>
      <c r="C347">
        <v>0.78460629999999998</v>
      </c>
      <c r="D347">
        <v>0.74159390060231001</v>
      </c>
      <c r="G347">
        <v>6.4435360000000053E-2</v>
      </c>
      <c r="H347">
        <f t="shared" si="10"/>
        <v>1.8500665019464005E-3</v>
      </c>
      <c r="J347">
        <f t="shared" si="11"/>
        <v>0.44559347347495387</v>
      </c>
    </row>
    <row r="348" spans="1:10" x14ac:dyDescent="0.3">
      <c r="A348">
        <v>4</v>
      </c>
      <c r="B348">
        <v>1998</v>
      </c>
      <c r="C348">
        <v>0.93963945000000004</v>
      </c>
      <c r="D348">
        <v>0.76420188462361605</v>
      </c>
      <c r="G348">
        <v>6.8545859999999958E-2</v>
      </c>
      <c r="H348">
        <f t="shared" si="10"/>
        <v>3.0778339345193008E-2</v>
      </c>
      <c r="J348">
        <f t="shared" si="11"/>
        <v>6.5506247902115637</v>
      </c>
    </row>
    <row r="349" spans="1:10" x14ac:dyDescent="0.3">
      <c r="A349">
        <v>4</v>
      </c>
      <c r="B349">
        <v>1999</v>
      </c>
      <c r="C349">
        <v>0.68678269999999997</v>
      </c>
      <c r="D349">
        <v>0.786573050543665</v>
      </c>
      <c r="G349">
        <v>6.3300429999999963E-2</v>
      </c>
      <c r="H349">
        <f t="shared" si="10"/>
        <v>9.9581140616275474E-3</v>
      </c>
      <c r="J349">
        <f t="shared" si="11"/>
        <v>2.4852139118101846</v>
      </c>
    </row>
    <row r="350" spans="1:10" x14ac:dyDescent="0.3">
      <c r="A350">
        <v>4</v>
      </c>
      <c r="B350">
        <v>2000</v>
      </c>
      <c r="C350">
        <v>0.69338250000000001</v>
      </c>
      <c r="D350">
        <v>0.80861271591856998</v>
      </c>
      <c r="G350">
        <v>6.5713839999999912E-2</v>
      </c>
      <c r="H350">
        <f t="shared" si="10"/>
        <v>1.3278002660640255E-2</v>
      </c>
      <c r="J350">
        <f t="shared" si="11"/>
        <v>3.0748154834206347</v>
      </c>
    </row>
    <row r="351" spans="1:10" x14ac:dyDescent="0.3">
      <c r="A351">
        <v>4</v>
      </c>
      <c r="B351">
        <v>2001</v>
      </c>
      <c r="C351">
        <v>0.8515781</v>
      </c>
      <c r="D351">
        <v>0.83022243203595203</v>
      </c>
      <c r="G351">
        <v>6.2424050000000064E-2</v>
      </c>
      <c r="H351">
        <f t="shared" si="10"/>
        <v>4.5606455419066499E-4</v>
      </c>
      <c r="J351">
        <f t="shared" si="11"/>
        <v>0.11703679928024713</v>
      </c>
    </row>
    <row r="352" spans="1:10" x14ac:dyDescent="0.3">
      <c r="A352">
        <v>4</v>
      </c>
      <c r="B352">
        <v>2002</v>
      </c>
      <c r="C352">
        <v>0.90576429999999997</v>
      </c>
      <c r="D352">
        <v>0.851299981586635</v>
      </c>
      <c r="G352">
        <v>6.136929999999996E-2</v>
      </c>
      <c r="H352">
        <f t="shared" si="10"/>
        <v>2.9663619802324059E-3</v>
      </c>
      <c r="J352">
        <f t="shared" si="11"/>
        <v>0.78762919725096181</v>
      </c>
    </row>
    <row r="353" spans="1:11" x14ac:dyDescent="0.3">
      <c r="A353">
        <v>4</v>
      </c>
      <c r="B353">
        <v>2003</v>
      </c>
      <c r="C353">
        <v>0.90646789999999999</v>
      </c>
      <c r="D353">
        <v>0.87173937866464202</v>
      </c>
      <c r="G353">
        <v>6.5855100000000055E-2</v>
      </c>
      <c r="H353">
        <f t="shared" si="10"/>
        <v>1.2060701941404141E-3</v>
      </c>
      <c r="J353">
        <f t="shared" si="11"/>
        <v>0.27809536955040604</v>
      </c>
    </row>
    <row r="354" spans="1:11" x14ac:dyDescent="0.3">
      <c r="A354">
        <v>4</v>
      </c>
      <c r="B354">
        <v>2004</v>
      </c>
      <c r="C354">
        <v>0.82966846000000005</v>
      </c>
      <c r="D354">
        <v>0.89143087062984705</v>
      </c>
      <c r="G354">
        <v>6.6064800000000035E-2</v>
      </c>
      <c r="H354">
        <f t="shared" si="10"/>
        <v>3.8145953668098373E-3</v>
      </c>
      <c r="J354">
        <f t="shared" si="11"/>
        <v>0.87399355042310745</v>
      </c>
    </row>
    <row r="355" spans="1:11" x14ac:dyDescent="0.3">
      <c r="A355">
        <v>4</v>
      </c>
      <c r="B355">
        <v>2005</v>
      </c>
      <c r="C355">
        <v>0.96916026</v>
      </c>
      <c r="D355">
        <v>0.91026093205436998</v>
      </c>
      <c r="G355">
        <v>6.2314439999999971E-2</v>
      </c>
      <c r="H355">
        <f t="shared" si="10"/>
        <v>3.4691308324468735E-3</v>
      </c>
      <c r="J355">
        <f t="shared" si="11"/>
        <v>0.8933945232884426</v>
      </c>
    </row>
    <row r="356" spans="1:11" x14ac:dyDescent="0.3">
      <c r="A356">
        <v>4</v>
      </c>
      <c r="B356">
        <v>2006</v>
      </c>
      <c r="C356">
        <v>0.93485045</v>
      </c>
      <c r="D356">
        <v>0.92811227589845602</v>
      </c>
      <c r="G356">
        <v>6.1159370000000046E-2</v>
      </c>
      <c r="H356">
        <f t="shared" si="10"/>
        <v>4.5402990222718035E-5</v>
      </c>
      <c r="J356">
        <f t="shared" si="11"/>
        <v>1.2138316296952887E-2</v>
      </c>
    </row>
    <row r="357" spans="1:11" x14ac:dyDescent="0.3">
      <c r="A357">
        <v>4</v>
      </c>
      <c r="B357">
        <v>2007</v>
      </c>
      <c r="C357">
        <v>0.95399909999999999</v>
      </c>
      <c r="D357">
        <v>0.94486383767798499</v>
      </c>
      <c r="G357">
        <v>6.0696299999999925E-2</v>
      </c>
      <c r="H357">
        <f t="shared" si="10"/>
        <v>8.345301769202695E-5</v>
      </c>
      <c r="J357">
        <f t="shared" si="11"/>
        <v>2.2652576738254864E-2</v>
      </c>
    </row>
    <row r="358" spans="1:11" x14ac:dyDescent="0.3">
      <c r="A358">
        <v>4</v>
      </c>
      <c r="B358">
        <v>2008</v>
      </c>
      <c r="C358">
        <v>0.82794760000000001</v>
      </c>
      <c r="D358">
        <v>0.96039079641923297</v>
      </c>
      <c r="G358">
        <v>6.598499999999996E-2</v>
      </c>
      <c r="H358">
        <f t="shared" si="10"/>
        <v>1.7541200277743522E-2</v>
      </c>
      <c r="J358">
        <f t="shared" si="11"/>
        <v>4.0287365173512821</v>
      </c>
    </row>
    <row r="359" spans="1:11" x14ac:dyDescent="0.3">
      <c r="A359">
        <v>4</v>
      </c>
      <c r="B359">
        <v>2009</v>
      </c>
      <c r="C359">
        <v>0.95907940000000003</v>
      </c>
      <c r="D359">
        <v>0.97456454997882203</v>
      </c>
      <c r="G359">
        <v>6.3052039999999976E-2</v>
      </c>
      <c r="H359">
        <f t="shared" si="10"/>
        <v>2.3978986986661097E-4</v>
      </c>
      <c r="J359">
        <f t="shared" si="11"/>
        <v>6.0316002036567576E-2</v>
      </c>
    </row>
    <row r="360" spans="1:11" x14ac:dyDescent="0.3">
      <c r="A360">
        <v>4</v>
      </c>
      <c r="B360">
        <v>2010</v>
      </c>
      <c r="C360">
        <v>1.0426692</v>
      </c>
      <c r="D360">
        <v>0.98725273879244901</v>
      </c>
      <c r="G360">
        <v>6.2591000000000063E-2</v>
      </c>
      <c r="H360">
        <f t="shared" si="10"/>
        <v>3.0709841727679993E-3</v>
      </c>
      <c r="J360">
        <f t="shared" si="11"/>
        <v>0.78388760572916749</v>
      </c>
    </row>
    <row r="361" spans="1:11" x14ac:dyDescent="0.3">
      <c r="A361">
        <v>4</v>
      </c>
      <c r="B361">
        <v>2011</v>
      </c>
      <c r="C361">
        <v>0.89999549999999995</v>
      </c>
      <c r="D361">
        <v>0.99831922771409098</v>
      </c>
      <c r="G361">
        <v>6.339311000000003E-2</v>
      </c>
      <c r="H361">
        <f t="shared" si="10"/>
        <v>9.6675554315947144E-3</v>
      </c>
      <c r="J361">
        <f t="shared" si="11"/>
        <v>2.405650623170609</v>
      </c>
    </row>
    <row r="362" spans="1:11" x14ac:dyDescent="0.3">
      <c r="A362">
        <v>4</v>
      </c>
      <c r="B362">
        <v>2012</v>
      </c>
      <c r="C362">
        <v>0.93990479999999998</v>
      </c>
      <c r="D362">
        <v>1.00762411765754</v>
      </c>
      <c r="G362">
        <v>6.5503599999999995E-2</v>
      </c>
      <c r="H362">
        <f t="shared" si="10"/>
        <v>4.5859059840028119E-3</v>
      </c>
      <c r="J362">
        <f t="shared" si="11"/>
        <v>1.0687959736542256</v>
      </c>
    </row>
    <row r="363" spans="1:11" x14ac:dyDescent="0.3">
      <c r="A363">
        <v>4</v>
      </c>
      <c r="B363">
        <v>2013</v>
      </c>
      <c r="C363">
        <v>0.98587309999999995</v>
      </c>
      <c r="D363">
        <v>1.0150237372144999</v>
      </c>
      <c r="G363">
        <v>7.0183000000000106E-2</v>
      </c>
      <c r="H363">
        <f t="shared" si="10"/>
        <v>8.497596500113895E-4</v>
      </c>
      <c r="J363">
        <f t="shared" si="11"/>
        <v>0.17251713948394368</v>
      </c>
    </row>
    <row r="364" spans="1:11" x14ac:dyDescent="0.3">
      <c r="A364">
        <v>4</v>
      </c>
      <c r="B364">
        <v>2014</v>
      </c>
      <c r="C364">
        <v>1.0351694</v>
      </c>
      <c r="D364">
        <v>1.0203706501051699</v>
      </c>
      <c r="G364">
        <v>6.7933499999999869E-2</v>
      </c>
      <c r="H364">
        <f t="shared" si="10"/>
        <v>2.1900299844973385E-4</v>
      </c>
      <c r="J364">
        <f t="shared" si="11"/>
        <v>4.745501118359774E-2</v>
      </c>
    </row>
    <row r="365" spans="1:11" x14ac:dyDescent="0.3">
      <c r="A365">
        <v>4</v>
      </c>
      <c r="B365">
        <v>2015</v>
      </c>
      <c r="C365">
        <v>1.1874121</v>
      </c>
      <c r="D365">
        <v>1.02351365052163</v>
      </c>
      <c r="G365">
        <v>6.7654600000000009E-2</v>
      </c>
      <c r="H365">
        <f t="shared" si="10"/>
        <v>2.6862701741413791E-2</v>
      </c>
      <c r="J365">
        <f t="shared" si="11"/>
        <v>5.8688772851840199</v>
      </c>
    </row>
    <row r="366" spans="1:11" x14ac:dyDescent="0.3">
      <c r="A366">
        <v>5</v>
      </c>
      <c r="B366">
        <v>1925</v>
      </c>
      <c r="C366">
        <v>8.0155770000000001E-2</v>
      </c>
      <c r="D366">
        <v>3.05763483047485E-2</v>
      </c>
      <c r="G366">
        <v>0.22561889600000001</v>
      </c>
      <c r="H366">
        <f t="shared" si="10"/>
        <v>2.4581190556355751E-3</v>
      </c>
      <c r="J366">
        <f t="shared" si="11"/>
        <v>4.8289418305312325E-2</v>
      </c>
      <c r="K366">
        <f>SUM(J366:J456)</f>
        <v>105.9328954373516</v>
      </c>
    </row>
    <row r="367" spans="1:11" x14ac:dyDescent="0.3">
      <c r="A367">
        <v>5</v>
      </c>
      <c r="B367">
        <v>1926</v>
      </c>
      <c r="C367">
        <v>0.23974274000000001</v>
      </c>
      <c r="D367">
        <v>7.1771554648876107E-2</v>
      </c>
      <c r="G367">
        <v>0.21658418000000002</v>
      </c>
      <c r="H367">
        <f t="shared" si="10"/>
        <v>2.821431910826162E-2</v>
      </c>
      <c r="J367">
        <f t="shared" si="11"/>
        <v>0.60147296518873306</v>
      </c>
    </row>
    <row r="368" spans="1:11" x14ac:dyDescent="0.3">
      <c r="A368">
        <v>5</v>
      </c>
      <c r="B368">
        <v>1927</v>
      </c>
      <c r="C368">
        <v>0.13318415</v>
      </c>
      <c r="D368">
        <v>0.108687654137611</v>
      </c>
      <c r="G368">
        <v>0.20616828800000001</v>
      </c>
      <c r="H368">
        <f t="shared" si="10"/>
        <v>6.0007830953604142E-4</v>
      </c>
      <c r="J368">
        <f t="shared" si="11"/>
        <v>1.4117708155153339E-2</v>
      </c>
    </row>
    <row r="369" spans="1:10" x14ac:dyDescent="0.3">
      <c r="A369">
        <v>5</v>
      </c>
      <c r="B369">
        <v>1928</v>
      </c>
      <c r="C369">
        <v>0.15583193000000001</v>
      </c>
      <c r="D369">
        <v>0.141588129103183</v>
      </c>
      <c r="G369">
        <v>0.22194212700000002</v>
      </c>
      <c r="H369">
        <f t="shared" si="10"/>
        <v>2.0288586398816506E-4</v>
      </c>
      <c r="J369">
        <f t="shared" si="11"/>
        <v>4.1188151462742718E-3</v>
      </c>
    </row>
    <row r="370" spans="1:10" x14ac:dyDescent="0.3">
      <c r="A370">
        <v>5</v>
      </c>
      <c r="B370">
        <v>1929</v>
      </c>
      <c r="C370">
        <v>-3.0145284000000001E-2</v>
      </c>
      <c r="D370">
        <v>0.17072838544845501</v>
      </c>
      <c r="G370">
        <v>0.22083399999999997</v>
      </c>
      <c r="H370">
        <f t="shared" si="10"/>
        <v>4.0350231077687163E-2</v>
      </c>
      <c r="J370">
        <f t="shared" si="11"/>
        <v>0.82739739316262428</v>
      </c>
    </row>
    <row r="371" spans="1:10" x14ac:dyDescent="0.3">
      <c r="A371">
        <v>5</v>
      </c>
      <c r="B371">
        <v>1930</v>
      </c>
      <c r="C371">
        <v>0.18549231999999999</v>
      </c>
      <c r="D371">
        <v>0.19635544717311801</v>
      </c>
      <c r="G371">
        <v>0.22721205999999999</v>
      </c>
      <c r="H371">
        <f t="shared" si="10"/>
        <v>1.1800753197933511E-4</v>
      </c>
      <c r="J371">
        <f t="shared" si="11"/>
        <v>2.2858460054209699E-3</v>
      </c>
    </row>
    <row r="372" spans="1:10" x14ac:dyDescent="0.3">
      <c r="A372">
        <v>5</v>
      </c>
      <c r="B372">
        <v>1931</v>
      </c>
      <c r="C372">
        <v>0.25890007999999998</v>
      </c>
      <c r="D372">
        <v>0.218708466738462</v>
      </c>
      <c r="G372">
        <v>0.21858786000000002</v>
      </c>
      <c r="H372">
        <f t="shared" si="10"/>
        <v>1.615365776565035E-3</v>
      </c>
      <c r="J372">
        <f t="shared" si="11"/>
        <v>3.3807947165093472E-2</v>
      </c>
    </row>
    <row r="373" spans="1:10" x14ac:dyDescent="0.3">
      <c r="A373">
        <v>5</v>
      </c>
      <c r="B373">
        <v>1932</v>
      </c>
      <c r="C373">
        <v>0.21683604000000001</v>
      </c>
      <c r="D373">
        <v>0.23801857978105501</v>
      </c>
      <c r="G373">
        <v>0.21298692999999999</v>
      </c>
      <c r="H373">
        <f t="shared" si="10"/>
        <v>4.4869999157597757E-4</v>
      </c>
      <c r="J373">
        <f t="shared" si="11"/>
        <v>9.8912266626098519E-3</v>
      </c>
    </row>
    <row r="374" spans="1:10" x14ac:dyDescent="0.3">
      <c r="A374">
        <v>5</v>
      </c>
      <c r="B374">
        <v>1933</v>
      </c>
      <c r="C374">
        <v>3.9953324999999998E-2</v>
      </c>
      <c r="D374">
        <v>0.254509076476097</v>
      </c>
      <c r="G374">
        <v>0.20951196</v>
      </c>
      <c r="H374">
        <f t="shared" si="10"/>
        <v>4.6034170491472702E-2</v>
      </c>
      <c r="J374">
        <f t="shared" si="11"/>
        <v>1.0487275628630257</v>
      </c>
    </row>
    <row r="375" spans="1:10" x14ac:dyDescent="0.3">
      <c r="A375">
        <v>5</v>
      </c>
      <c r="B375">
        <v>1934</v>
      </c>
      <c r="C375">
        <v>0.18796089999999999</v>
      </c>
      <c r="D375">
        <v>0.268395405262708</v>
      </c>
      <c r="G375">
        <v>0.19933419999999999</v>
      </c>
      <c r="H375">
        <f t="shared" si="10"/>
        <v>6.4697096368566027E-3</v>
      </c>
      <c r="J375">
        <f t="shared" si="11"/>
        <v>0.16282502547485353</v>
      </c>
    </row>
    <row r="376" spans="1:10" x14ac:dyDescent="0.3">
      <c r="A376">
        <v>5</v>
      </c>
      <c r="B376">
        <v>1935</v>
      </c>
      <c r="C376">
        <v>0.15623851</v>
      </c>
      <c r="D376">
        <v>0.27988556027412398</v>
      </c>
      <c r="G376">
        <v>0.19487621700000002</v>
      </c>
      <c r="H376">
        <f t="shared" si="10"/>
        <v>1.5288593041491744E-2</v>
      </c>
      <c r="J376">
        <f t="shared" si="11"/>
        <v>0.40257781633501044</v>
      </c>
    </row>
    <row r="377" spans="1:10" x14ac:dyDescent="0.3">
      <c r="A377">
        <v>5</v>
      </c>
      <c r="B377">
        <v>1936</v>
      </c>
      <c r="C377">
        <v>0.1927768</v>
      </c>
      <c r="D377">
        <v>0.289179917424917</v>
      </c>
      <c r="G377">
        <v>0.18799661000000001</v>
      </c>
      <c r="H377">
        <f t="shared" si="10"/>
        <v>9.2935610492423364E-3</v>
      </c>
      <c r="J377">
        <f t="shared" si="11"/>
        <v>0.26295541590402199</v>
      </c>
    </row>
    <row r="378" spans="1:10" x14ac:dyDescent="0.3">
      <c r="A378">
        <v>5</v>
      </c>
      <c r="B378">
        <v>1937</v>
      </c>
      <c r="C378">
        <v>0.34309879999999998</v>
      </c>
      <c r="D378">
        <v>0.29647137224674203</v>
      </c>
      <c r="G378">
        <v>0.20111965000000001</v>
      </c>
      <c r="H378">
        <f t="shared" si="10"/>
        <v>2.1741170188852902E-3</v>
      </c>
      <c r="J378">
        <f t="shared" si="11"/>
        <v>5.3749435389820625E-2</v>
      </c>
    </row>
    <row r="379" spans="1:10" x14ac:dyDescent="0.3">
      <c r="A379">
        <v>5</v>
      </c>
      <c r="B379">
        <v>1938</v>
      </c>
      <c r="C379">
        <v>0.35009699999999999</v>
      </c>
      <c r="D379">
        <v>0.30194562301039601</v>
      </c>
      <c r="G379">
        <v>0.19620601999999998</v>
      </c>
      <c r="H379">
        <f t="shared" si="10"/>
        <v>2.3185551059949636E-3</v>
      </c>
      <c r="J379">
        <f t="shared" si="11"/>
        <v>6.0227212870200414E-2</v>
      </c>
    </row>
    <row r="380" spans="1:10" x14ac:dyDescent="0.3">
      <c r="A380">
        <v>5</v>
      </c>
      <c r="B380">
        <v>1939</v>
      </c>
      <c r="C380">
        <v>0.32150054</v>
      </c>
      <c r="D380">
        <v>0.30578098073601701</v>
      </c>
      <c r="G380">
        <v>0.21181498999999998</v>
      </c>
      <c r="H380">
        <f t="shared" si="10"/>
        <v>2.4710454345387364E-4</v>
      </c>
      <c r="J380">
        <f t="shared" si="11"/>
        <v>5.5076628551214805E-3</v>
      </c>
    </row>
    <row r="381" spans="1:10" x14ac:dyDescent="0.3">
      <c r="A381">
        <v>5</v>
      </c>
      <c r="B381">
        <v>1940</v>
      </c>
      <c r="C381">
        <v>0.43823355000000003</v>
      </c>
      <c r="D381">
        <v>0.30814879760146102</v>
      </c>
      <c r="G381">
        <v>0.23577104999999998</v>
      </c>
      <c r="H381">
        <f t="shared" si="10"/>
        <v>1.69220428065892E-2</v>
      </c>
      <c r="J381">
        <f t="shared" si="11"/>
        <v>0.30441905544554798</v>
      </c>
    </row>
    <row r="382" spans="1:10" x14ac:dyDescent="0.3">
      <c r="A382">
        <v>5</v>
      </c>
      <c r="B382">
        <v>1941</v>
      </c>
      <c r="C382">
        <v>0.40042704000000001</v>
      </c>
      <c r="D382">
        <v>0.30921334028244002</v>
      </c>
      <c r="G382">
        <v>0.40076646999999999</v>
      </c>
      <c r="H382">
        <f t="shared" si="10"/>
        <v>8.3199390161652047E-3</v>
      </c>
      <c r="J382">
        <f t="shared" si="11"/>
        <v>5.1800909436973082E-2</v>
      </c>
    </row>
    <row r="383" spans="1:10" x14ac:dyDescent="0.3">
      <c r="A383">
        <v>5</v>
      </c>
      <c r="B383">
        <v>1942</v>
      </c>
      <c r="C383">
        <v>0.36370382000000001</v>
      </c>
      <c r="D383">
        <v>0.30913199484348203</v>
      </c>
      <c r="G383">
        <v>0.39323698000000007</v>
      </c>
      <c r="H383">
        <f t="shared" si="10"/>
        <v>2.9780841009135689E-3</v>
      </c>
      <c r="J383">
        <f t="shared" si="11"/>
        <v>1.9258757015741534E-2</v>
      </c>
    </row>
    <row r="384" spans="1:10" x14ac:dyDescent="0.3">
      <c r="A384">
        <v>5</v>
      </c>
      <c r="B384">
        <v>1943</v>
      </c>
      <c r="C384">
        <v>0.36871934000000001</v>
      </c>
      <c r="D384">
        <v>0.30805530771613099</v>
      </c>
      <c r="G384">
        <v>0.41200937000000004</v>
      </c>
      <c r="H384">
        <f t="shared" si="10"/>
        <v>3.6801248129383025E-3</v>
      </c>
      <c r="J384">
        <f t="shared" si="11"/>
        <v>2.1679455100407776E-2</v>
      </c>
    </row>
    <row r="385" spans="1:10" x14ac:dyDescent="0.3">
      <c r="A385">
        <v>5</v>
      </c>
      <c r="B385">
        <v>1944</v>
      </c>
      <c r="C385">
        <v>0.50640289999999999</v>
      </c>
      <c r="D385">
        <v>0.30612718313932402</v>
      </c>
      <c r="G385">
        <v>0.39719992000000004</v>
      </c>
      <c r="H385">
        <f t="shared" si="10"/>
        <v>4.0110362764057647E-2</v>
      </c>
      <c r="J385">
        <f t="shared" si="11"/>
        <v>0.25423672480594489</v>
      </c>
    </row>
    <row r="386" spans="1:10" x14ac:dyDescent="0.3">
      <c r="A386">
        <v>5</v>
      </c>
      <c r="B386">
        <v>1945</v>
      </c>
      <c r="C386">
        <v>0.40538610000000003</v>
      </c>
      <c r="D386">
        <v>0.30348490923643101</v>
      </c>
      <c r="G386">
        <v>0.40074251999999999</v>
      </c>
      <c r="H386">
        <f t="shared" ref="H386:H449" si="12">(C386-D386)^2</f>
        <v>1.0383852679033283E-2</v>
      </c>
      <c r="J386">
        <f t="shared" si="11"/>
        <v>6.465880416310181E-2</v>
      </c>
    </row>
    <row r="387" spans="1:10" x14ac:dyDescent="0.3">
      <c r="A387">
        <v>5</v>
      </c>
      <c r="B387">
        <v>1946</v>
      </c>
      <c r="C387">
        <v>0.24348313999999999</v>
      </c>
      <c r="D387">
        <v>0.30025926977396</v>
      </c>
      <c r="G387">
        <v>0.29427287000000002</v>
      </c>
      <c r="H387">
        <f t="shared" si="12"/>
        <v>3.2235289121095492E-3</v>
      </c>
      <c r="J387">
        <f t="shared" ref="J387:J450" si="13">H387/(G387^2)</f>
        <v>3.7224692597216905E-2</v>
      </c>
    </row>
    <row r="388" spans="1:10" x14ac:dyDescent="0.3">
      <c r="A388">
        <v>5</v>
      </c>
      <c r="B388">
        <v>1947</v>
      </c>
      <c r="C388">
        <v>0.27109214999999998</v>
      </c>
      <c r="D388">
        <v>0.29657468572258899</v>
      </c>
      <c r="G388">
        <v>0.28116972000000001</v>
      </c>
      <c r="H388">
        <f t="shared" si="12"/>
        <v>6.4935962685302539E-4</v>
      </c>
      <c r="J388">
        <f t="shared" si="13"/>
        <v>8.2138768378803451E-3</v>
      </c>
    </row>
    <row r="389" spans="1:10" x14ac:dyDescent="0.3">
      <c r="A389">
        <v>5</v>
      </c>
      <c r="B389">
        <v>1948</v>
      </c>
      <c r="C389">
        <v>0.23763648000000001</v>
      </c>
      <c r="D389">
        <v>0.29254931584000499</v>
      </c>
      <c r="G389">
        <v>0.26894422000000001</v>
      </c>
      <c r="H389">
        <f t="shared" si="12"/>
        <v>3.0154195399913347E-3</v>
      </c>
      <c r="J389">
        <f t="shared" si="13"/>
        <v>4.1689176316696032E-2</v>
      </c>
    </row>
    <row r="390" spans="1:10" x14ac:dyDescent="0.3">
      <c r="A390">
        <v>5</v>
      </c>
      <c r="B390">
        <v>1949</v>
      </c>
      <c r="C390">
        <v>0.21849552</v>
      </c>
      <c r="D390">
        <v>0.28829510137438702</v>
      </c>
      <c r="G390">
        <v>0.22055050999999998</v>
      </c>
      <c r="H390">
        <f t="shared" si="12"/>
        <v>4.8719815600396753E-3</v>
      </c>
      <c r="J390">
        <f t="shared" si="13"/>
        <v>0.10015889005602806</v>
      </c>
    </row>
    <row r="391" spans="1:10" x14ac:dyDescent="0.3">
      <c r="A391">
        <v>5</v>
      </c>
      <c r="B391">
        <v>1950</v>
      </c>
      <c r="C391">
        <v>0.13567593999999999</v>
      </c>
      <c r="D391">
        <v>0.28391796350479098</v>
      </c>
      <c r="G391">
        <v>0.21207035199999999</v>
      </c>
      <c r="H391">
        <f t="shared" si="12"/>
        <v>2.1975697532795005E-2</v>
      </c>
      <c r="J391">
        <f t="shared" si="13"/>
        <v>0.48863295569457016</v>
      </c>
    </row>
    <row r="392" spans="1:10" x14ac:dyDescent="0.3">
      <c r="A392">
        <v>5</v>
      </c>
      <c r="B392">
        <v>1951</v>
      </c>
      <c r="C392">
        <v>0.30114380000000002</v>
      </c>
      <c r="D392">
        <v>0.27951784059405299</v>
      </c>
      <c r="G392">
        <v>0.17839253999999999</v>
      </c>
      <c r="H392">
        <f t="shared" si="12"/>
        <v>4.6768212022766867E-4</v>
      </c>
      <c r="J392">
        <f t="shared" si="13"/>
        <v>1.4695940623380588E-2</v>
      </c>
    </row>
    <row r="393" spans="1:10" x14ac:dyDescent="0.3">
      <c r="A393">
        <v>5</v>
      </c>
      <c r="B393">
        <v>1952</v>
      </c>
      <c r="C393">
        <v>0.3776523</v>
      </c>
      <c r="D393">
        <v>0.27518878132104801</v>
      </c>
      <c r="G393">
        <v>0.19658106999999997</v>
      </c>
      <c r="H393">
        <f t="shared" si="12"/>
        <v>1.0498772660071942E-2</v>
      </c>
      <c r="J393">
        <f t="shared" si="13"/>
        <v>0.27167841971135254</v>
      </c>
    </row>
    <row r="394" spans="1:10" x14ac:dyDescent="0.3">
      <c r="A394">
        <v>5</v>
      </c>
      <c r="B394">
        <v>1953</v>
      </c>
      <c r="C394">
        <v>0.4399285</v>
      </c>
      <c r="D394">
        <v>0.27101914584636599</v>
      </c>
      <c r="G394">
        <v>0.19632071000000001</v>
      </c>
      <c r="H394">
        <f t="shared" si="12"/>
        <v>2.8530369920597758E-2</v>
      </c>
      <c r="J394">
        <f t="shared" si="13"/>
        <v>0.74024446823947321</v>
      </c>
    </row>
    <row r="395" spans="1:10" x14ac:dyDescent="0.3">
      <c r="A395">
        <v>5</v>
      </c>
      <c r="B395">
        <v>1954</v>
      </c>
      <c r="C395">
        <v>0.24554751999999999</v>
      </c>
      <c r="D395">
        <v>0.26709160581231101</v>
      </c>
      <c r="G395">
        <v>0.18350500999999997</v>
      </c>
      <c r="H395">
        <f t="shared" si="12"/>
        <v>4.6414763348822074E-4</v>
      </c>
      <c r="J395">
        <f t="shared" si="13"/>
        <v>1.3783524706215994E-2</v>
      </c>
    </row>
    <row r="396" spans="1:10" x14ac:dyDescent="0.3">
      <c r="A396">
        <v>5</v>
      </c>
      <c r="B396">
        <v>1955</v>
      </c>
      <c r="C396">
        <v>0.16498779999999999</v>
      </c>
      <c r="D396">
        <v>0.26348323747515601</v>
      </c>
      <c r="G396">
        <v>0.17424004999999998</v>
      </c>
      <c r="H396">
        <f t="shared" si="12"/>
        <v>9.7013512034223679E-3</v>
      </c>
      <c r="J396">
        <f t="shared" si="13"/>
        <v>0.31954810977394188</v>
      </c>
    </row>
    <row r="397" spans="1:10" x14ac:dyDescent="0.3">
      <c r="A397">
        <v>5</v>
      </c>
      <c r="B397">
        <v>1956</v>
      </c>
      <c r="C397">
        <v>9.9132129999999999E-2</v>
      </c>
      <c r="D397">
        <v>0.260265752673149</v>
      </c>
      <c r="G397">
        <v>0.15192007599999999</v>
      </c>
      <c r="H397">
        <f t="shared" si="12"/>
        <v>2.5964044355772761E-2</v>
      </c>
      <c r="J397">
        <f t="shared" si="13"/>
        <v>1.1249727543124424</v>
      </c>
    </row>
    <row r="398" spans="1:10" x14ac:dyDescent="0.3">
      <c r="A398">
        <v>5</v>
      </c>
      <c r="B398">
        <v>1957</v>
      </c>
      <c r="C398">
        <v>0.32696282999999998</v>
      </c>
      <c r="D398">
        <v>0.257505513727664</v>
      </c>
      <c r="G398">
        <v>0.13046738999999996</v>
      </c>
      <c r="H398">
        <f t="shared" si="12"/>
        <v>4.8243187837553082E-3</v>
      </c>
      <c r="J398">
        <f t="shared" si="13"/>
        <v>0.28342101484932813</v>
      </c>
    </row>
    <row r="399" spans="1:10" x14ac:dyDescent="0.3">
      <c r="A399">
        <v>5</v>
      </c>
      <c r="B399">
        <v>1958</v>
      </c>
      <c r="C399">
        <v>0.3446652</v>
      </c>
      <c r="D399">
        <v>0.25526361539959902</v>
      </c>
      <c r="G399">
        <v>0.13088402999999998</v>
      </c>
      <c r="H399">
        <f t="shared" si="12"/>
        <v>7.9926433290626545E-3</v>
      </c>
      <c r="J399">
        <f t="shared" si="13"/>
        <v>0.46657032762038936</v>
      </c>
    </row>
    <row r="400" spans="1:10" x14ac:dyDescent="0.3">
      <c r="A400">
        <v>5</v>
      </c>
      <c r="B400">
        <v>1959</v>
      </c>
      <c r="C400">
        <v>0.31429294000000002</v>
      </c>
      <c r="D400">
        <v>0.25359606742858798</v>
      </c>
      <c r="G400">
        <v>0.12471783000000003</v>
      </c>
      <c r="H400">
        <f t="shared" si="12"/>
        <v>3.6841103399502316E-3</v>
      </c>
      <c r="J400">
        <f t="shared" si="13"/>
        <v>0.23685117156169075</v>
      </c>
    </row>
    <row r="401" spans="1:10" x14ac:dyDescent="0.3">
      <c r="A401">
        <v>5</v>
      </c>
      <c r="B401">
        <v>1960</v>
      </c>
      <c r="C401">
        <v>0.24683817</v>
      </c>
      <c r="D401">
        <v>0.25255375355482101</v>
      </c>
      <c r="G401">
        <v>0.11735596999999998</v>
      </c>
      <c r="H401">
        <f t="shared" si="12"/>
        <v>3.2667895372140475E-5</v>
      </c>
      <c r="J401">
        <f t="shared" si="13"/>
        <v>2.3719786797477163E-3</v>
      </c>
    </row>
    <row r="402" spans="1:10" x14ac:dyDescent="0.3">
      <c r="A402">
        <v>5</v>
      </c>
      <c r="B402">
        <v>1961</v>
      </c>
      <c r="C402">
        <v>0.34229797000000001</v>
      </c>
      <c r="D402">
        <v>0.25218287482857699</v>
      </c>
      <c r="G402">
        <v>0.10156016000000001</v>
      </c>
      <c r="H402">
        <f t="shared" si="12"/>
        <v>8.1207303777546293E-3</v>
      </c>
      <c r="J402">
        <f t="shared" si="13"/>
        <v>0.78731466075246737</v>
      </c>
    </row>
    <row r="403" spans="1:10" x14ac:dyDescent="0.3">
      <c r="A403">
        <v>5</v>
      </c>
      <c r="B403">
        <v>1962</v>
      </c>
      <c r="C403">
        <v>0.29825502999999998</v>
      </c>
      <c r="D403">
        <v>0.25252452865242903</v>
      </c>
      <c r="G403">
        <v>0.10653303000000003</v>
      </c>
      <c r="H403">
        <f t="shared" si="12"/>
        <v>2.0912787535001887E-3</v>
      </c>
      <c r="J403">
        <f t="shared" si="13"/>
        <v>0.18426521852318611</v>
      </c>
    </row>
    <row r="404" spans="1:10" x14ac:dyDescent="0.3">
      <c r="A404">
        <v>5</v>
      </c>
      <c r="B404">
        <v>1963</v>
      </c>
      <c r="C404">
        <v>0.32548714000000001</v>
      </c>
      <c r="D404">
        <v>0.25361529737710897</v>
      </c>
      <c r="G404">
        <v>0.10753833000000002</v>
      </c>
      <c r="H404">
        <f t="shared" si="12"/>
        <v>5.1655617620096168E-3</v>
      </c>
      <c r="J404">
        <f t="shared" si="13"/>
        <v>0.44667431779698574</v>
      </c>
    </row>
    <row r="405" spans="1:10" x14ac:dyDescent="0.3">
      <c r="A405">
        <v>5</v>
      </c>
      <c r="B405">
        <v>1964</v>
      </c>
      <c r="C405">
        <v>5.6436214999999998E-2</v>
      </c>
      <c r="D405">
        <v>0.25548708438873202</v>
      </c>
      <c r="G405">
        <v>8.726594E-2</v>
      </c>
      <c r="H405">
        <f t="shared" si="12"/>
        <v>3.9621248604410048E-2</v>
      </c>
      <c r="J405">
        <f t="shared" si="13"/>
        <v>5.2028177750571531</v>
      </c>
    </row>
    <row r="406" spans="1:10" x14ac:dyDescent="0.3">
      <c r="A406">
        <v>5</v>
      </c>
      <c r="B406">
        <v>1965</v>
      </c>
      <c r="C406">
        <v>0.15787726999999999</v>
      </c>
      <c r="D406">
        <v>0.25816728174686399</v>
      </c>
      <c r="G406">
        <v>9.838044E-2</v>
      </c>
      <c r="H406">
        <f t="shared" si="12"/>
        <v>1.0058086456186119E-2</v>
      </c>
      <c r="J406">
        <f t="shared" si="13"/>
        <v>1.0391969015903431</v>
      </c>
    </row>
    <row r="407" spans="1:10" x14ac:dyDescent="0.3">
      <c r="A407">
        <v>5</v>
      </c>
      <c r="B407">
        <v>1966</v>
      </c>
      <c r="C407">
        <v>0.21340013999999999</v>
      </c>
      <c r="D407">
        <v>0.26167895272374098</v>
      </c>
      <c r="G407">
        <v>9.9023140000000037E-2</v>
      </c>
      <c r="H407">
        <f t="shared" si="12"/>
        <v>2.3308437580140547E-3</v>
      </c>
      <c r="J407">
        <f t="shared" si="13"/>
        <v>0.2377057983187357</v>
      </c>
    </row>
    <row r="408" spans="1:10" x14ac:dyDescent="0.3">
      <c r="A408">
        <v>5</v>
      </c>
      <c r="B408">
        <v>1967</v>
      </c>
      <c r="C408">
        <v>0.24475846000000001</v>
      </c>
      <c r="D408">
        <v>0.26604082062840401</v>
      </c>
      <c r="G408">
        <v>8.6234999999999978E-2</v>
      </c>
      <c r="H408">
        <f t="shared" si="12"/>
        <v>4.5293887391744054E-4</v>
      </c>
      <c r="J408">
        <f t="shared" si="13"/>
        <v>6.0907736557065009E-2</v>
      </c>
    </row>
    <row r="409" spans="1:10" x14ac:dyDescent="0.3">
      <c r="A409">
        <v>5</v>
      </c>
      <c r="B409">
        <v>1968</v>
      </c>
      <c r="C409">
        <v>0.19365019</v>
      </c>
      <c r="D409">
        <v>0.27126742899417799</v>
      </c>
      <c r="G409">
        <v>8.9255870000000015E-2</v>
      </c>
      <c r="H409">
        <f t="shared" si="12"/>
        <v>6.0244357890793451E-3</v>
      </c>
      <c r="J409">
        <f t="shared" si="13"/>
        <v>0.75621067680487897</v>
      </c>
    </row>
    <row r="410" spans="1:10" x14ac:dyDescent="0.3">
      <c r="A410">
        <v>5</v>
      </c>
      <c r="B410">
        <v>1969</v>
      </c>
      <c r="C410">
        <v>0.33091152000000001</v>
      </c>
      <c r="D410">
        <v>0.27736921235918999</v>
      </c>
      <c r="G410">
        <v>8.1010250000000006E-2</v>
      </c>
      <c r="H410">
        <f t="shared" si="12"/>
        <v>2.8667787075031437E-3</v>
      </c>
      <c r="J410">
        <f t="shared" si="13"/>
        <v>0.43683177906407084</v>
      </c>
    </row>
    <row r="411" spans="1:10" x14ac:dyDescent="0.3">
      <c r="A411">
        <v>5</v>
      </c>
      <c r="B411">
        <v>1970</v>
      </c>
      <c r="C411">
        <v>0.27723365999999999</v>
      </c>
      <c r="D411">
        <v>0.284352697432041</v>
      </c>
      <c r="G411">
        <v>8.1977119999999987E-2</v>
      </c>
      <c r="H411">
        <f t="shared" si="12"/>
        <v>5.0680693958801044E-5</v>
      </c>
      <c r="J411">
        <f t="shared" si="13"/>
        <v>7.5414913890305534E-3</v>
      </c>
    </row>
    <row r="412" spans="1:10" x14ac:dyDescent="0.3">
      <c r="A412">
        <v>5</v>
      </c>
      <c r="B412">
        <v>1971</v>
      </c>
      <c r="C412">
        <v>0.15640870000000001</v>
      </c>
      <c r="D412">
        <v>0.29222047701477999</v>
      </c>
      <c r="G412">
        <v>7.7166373999999996E-2</v>
      </c>
      <c r="H412">
        <f t="shared" si="12"/>
        <v>1.8444838775912319E-2</v>
      </c>
      <c r="J412">
        <f t="shared" si="13"/>
        <v>3.0975525039400589</v>
      </c>
    </row>
    <row r="413" spans="1:10" x14ac:dyDescent="0.3">
      <c r="A413">
        <v>5</v>
      </c>
      <c r="B413">
        <v>1972</v>
      </c>
      <c r="C413">
        <v>0.26850644000000001</v>
      </c>
      <c r="D413">
        <v>0.300971359014511</v>
      </c>
      <c r="G413">
        <v>7.5784360000000023E-2</v>
      </c>
      <c r="H413">
        <f t="shared" si="12"/>
        <v>1.0539709666187568E-3</v>
      </c>
      <c r="J413">
        <f t="shared" si="13"/>
        <v>0.18351411471999324</v>
      </c>
    </row>
    <row r="414" spans="1:10" x14ac:dyDescent="0.3">
      <c r="A414">
        <v>5</v>
      </c>
      <c r="B414">
        <v>1973</v>
      </c>
      <c r="C414">
        <v>0.4122479</v>
      </c>
      <c r="D414">
        <v>0.31060063466429699</v>
      </c>
      <c r="G414">
        <v>7.2942280000000026E-2</v>
      </c>
      <c r="H414">
        <f t="shared" si="12"/>
        <v>1.0332166550226811E-2</v>
      </c>
      <c r="J414">
        <f t="shared" si="13"/>
        <v>1.9419262386851193</v>
      </c>
    </row>
    <row r="415" spans="1:10" x14ac:dyDescent="0.3">
      <c r="A415">
        <v>5</v>
      </c>
      <c r="B415">
        <v>1974</v>
      </c>
      <c r="C415">
        <v>0.18977118000000001</v>
      </c>
      <c r="D415">
        <v>0.32109976187348299</v>
      </c>
      <c r="G415">
        <v>7.539816000000002E-2</v>
      </c>
      <c r="H415">
        <f t="shared" si="12"/>
        <v>1.7247196416900121E-2</v>
      </c>
      <c r="J415">
        <f t="shared" si="13"/>
        <v>3.0338703256716868</v>
      </c>
    </row>
    <row r="416" spans="1:10" x14ac:dyDescent="0.3">
      <c r="A416">
        <v>5</v>
      </c>
      <c r="B416">
        <v>1975</v>
      </c>
      <c r="C416">
        <v>0.25154352000000002</v>
      </c>
      <c r="D416">
        <v>0.33245707675814601</v>
      </c>
      <c r="G416">
        <v>8.110176999999999E-2</v>
      </c>
      <c r="H416">
        <f t="shared" si="12"/>
        <v>6.5470036672537124E-3</v>
      </c>
      <c r="J416">
        <f t="shared" si="13"/>
        <v>0.99536397668765564</v>
      </c>
    </row>
    <row r="417" spans="1:10" x14ac:dyDescent="0.3">
      <c r="A417">
        <v>5</v>
      </c>
      <c r="B417">
        <v>1976</v>
      </c>
      <c r="C417">
        <v>0.14646085</v>
      </c>
      <c r="D417">
        <v>0.34465725719928703</v>
      </c>
      <c r="G417">
        <v>8.0047466000000012E-2</v>
      </c>
      <c r="H417">
        <f t="shared" si="12"/>
        <v>3.9281815826705591E-2</v>
      </c>
      <c r="J417">
        <f t="shared" si="13"/>
        <v>6.1305067988796198</v>
      </c>
    </row>
    <row r="418" spans="1:10" x14ac:dyDescent="0.3">
      <c r="A418">
        <v>5</v>
      </c>
      <c r="B418">
        <v>1977</v>
      </c>
      <c r="C418">
        <v>0.46538624000000001</v>
      </c>
      <c r="D418">
        <v>0.35768194124102498</v>
      </c>
      <c r="G418">
        <v>8.6063669999999981E-2</v>
      </c>
      <c r="H418">
        <f t="shared" si="12"/>
        <v>1.1600215971162548E-2</v>
      </c>
      <c r="J418">
        <f t="shared" si="13"/>
        <v>1.5661247450439753</v>
      </c>
    </row>
    <row r="419" spans="1:10" x14ac:dyDescent="0.3">
      <c r="A419">
        <v>5</v>
      </c>
      <c r="B419">
        <v>1978</v>
      </c>
      <c r="C419">
        <v>0.36755369999999998</v>
      </c>
      <c r="D419">
        <v>0.37150955572724298</v>
      </c>
      <c r="G419">
        <v>7.9705179999999987E-2</v>
      </c>
      <c r="H419">
        <f t="shared" si="12"/>
        <v>1.5648794534761216E-5</v>
      </c>
      <c r="J419">
        <f t="shared" si="13"/>
        <v>2.463246047538831E-3</v>
      </c>
    </row>
    <row r="420" spans="1:10" x14ac:dyDescent="0.3">
      <c r="A420">
        <v>5</v>
      </c>
      <c r="B420">
        <v>1979</v>
      </c>
      <c r="C420">
        <v>0.45315588000000001</v>
      </c>
      <c r="D420">
        <v>0.38611547648906702</v>
      </c>
      <c r="G420">
        <v>5.6999040000000001E-2</v>
      </c>
      <c r="H420">
        <f t="shared" si="12"/>
        <v>4.4944157029087163E-3</v>
      </c>
      <c r="J420">
        <f t="shared" si="13"/>
        <v>1.3833693744469506</v>
      </c>
    </row>
    <row r="421" spans="1:10" x14ac:dyDescent="0.3">
      <c r="A421">
        <v>5</v>
      </c>
      <c r="B421">
        <v>1980</v>
      </c>
      <c r="C421">
        <v>0.55836980000000003</v>
      </c>
      <c r="D421">
        <v>0.40147216990590001</v>
      </c>
      <c r="G421">
        <v>6.6536150000000016E-2</v>
      </c>
      <c r="H421">
        <f t="shared" si="12"/>
        <v>2.4616866329145039E-2</v>
      </c>
      <c r="J421">
        <f t="shared" si="13"/>
        <v>5.5605459292662962</v>
      </c>
    </row>
    <row r="422" spans="1:10" x14ac:dyDescent="0.3">
      <c r="A422">
        <v>5</v>
      </c>
      <c r="B422">
        <v>1981</v>
      </c>
      <c r="C422">
        <v>0.61230980000000002</v>
      </c>
      <c r="D422">
        <v>0.41754926741123199</v>
      </c>
      <c r="G422">
        <v>6.1241569999999967E-2</v>
      </c>
      <c r="H422">
        <f t="shared" si="12"/>
        <v>3.7931665054260572E-2</v>
      </c>
      <c r="J422">
        <f t="shared" si="13"/>
        <v>10.113681561119925</v>
      </c>
    </row>
    <row r="423" spans="1:10" x14ac:dyDescent="0.3">
      <c r="A423">
        <v>5</v>
      </c>
      <c r="B423">
        <v>1982</v>
      </c>
      <c r="C423">
        <v>0.39656603000000001</v>
      </c>
      <c r="D423">
        <v>0.43431369587779001</v>
      </c>
      <c r="G423">
        <v>7.8753829999999969E-2</v>
      </c>
      <c r="H423">
        <f t="shared" si="12"/>
        <v>1.4248862792212709E-3</v>
      </c>
      <c r="J423">
        <f t="shared" si="13"/>
        <v>0.22974011644154141</v>
      </c>
    </row>
    <row r="424" spans="1:10" x14ac:dyDescent="0.3">
      <c r="A424">
        <v>5</v>
      </c>
      <c r="B424">
        <v>1983</v>
      </c>
      <c r="C424">
        <v>0.58610759999999995</v>
      </c>
      <c r="D424">
        <v>0.45172973722219401</v>
      </c>
      <c r="G424">
        <v>7.1531040000000101E-2</v>
      </c>
      <c r="H424">
        <f t="shared" si="12"/>
        <v>1.8057410004730844E-2</v>
      </c>
      <c r="J424">
        <f t="shared" si="13"/>
        <v>3.5291196304177292</v>
      </c>
    </row>
    <row r="425" spans="1:10" x14ac:dyDescent="0.3">
      <c r="A425">
        <v>5</v>
      </c>
      <c r="B425">
        <v>1984</v>
      </c>
      <c r="C425">
        <v>0.41029125</v>
      </c>
      <c r="D425">
        <v>0.46975916996598199</v>
      </c>
      <c r="G425">
        <v>7.2906699999999991E-2</v>
      </c>
      <c r="H425">
        <f t="shared" si="12"/>
        <v>3.5364335050804404E-3</v>
      </c>
      <c r="J425">
        <f t="shared" si="13"/>
        <v>0.66532005446810016</v>
      </c>
    </row>
    <row r="426" spans="1:10" x14ac:dyDescent="0.3">
      <c r="A426">
        <v>5</v>
      </c>
      <c r="B426">
        <v>1985</v>
      </c>
      <c r="C426">
        <v>0.41202748</v>
      </c>
      <c r="D426">
        <v>0.48836137354373899</v>
      </c>
      <c r="G426">
        <v>6.8132599999999988E-2</v>
      </c>
      <c r="H426">
        <f t="shared" si="12"/>
        <v>5.8268633035468758E-3</v>
      </c>
      <c r="J426">
        <f t="shared" si="13"/>
        <v>1.2552346094733127</v>
      </c>
    </row>
    <row r="427" spans="1:10" x14ac:dyDescent="0.3">
      <c r="A427">
        <v>5</v>
      </c>
      <c r="B427">
        <v>1986</v>
      </c>
      <c r="C427">
        <v>0.45798472000000001</v>
      </c>
      <c r="D427">
        <v>0.50749342516064599</v>
      </c>
      <c r="G427">
        <v>6.2557950000000029E-2</v>
      </c>
      <c r="H427">
        <f t="shared" si="12"/>
        <v>2.4511118866837743E-3</v>
      </c>
      <c r="J427">
        <f t="shared" si="13"/>
        <v>0.62632265181603441</v>
      </c>
    </row>
    <row r="428" spans="1:10" x14ac:dyDescent="0.3">
      <c r="A428">
        <v>5</v>
      </c>
      <c r="B428">
        <v>1987</v>
      </c>
      <c r="C428">
        <v>0.60532414999999995</v>
      </c>
      <c r="D428">
        <v>0.52711011841893196</v>
      </c>
      <c r="G428">
        <v>6.168169999999995E-2</v>
      </c>
      <c r="H428">
        <f t="shared" si="12"/>
        <v>6.1174347361643011E-3</v>
      </c>
      <c r="J428">
        <f t="shared" si="13"/>
        <v>1.6078912629220603</v>
      </c>
    </row>
    <row r="429" spans="1:10" x14ac:dyDescent="0.3">
      <c r="A429">
        <v>5</v>
      </c>
      <c r="B429">
        <v>1988</v>
      </c>
      <c r="C429">
        <v>0.64444950000000001</v>
      </c>
      <c r="D429">
        <v>0.54716428369283598</v>
      </c>
      <c r="G429">
        <v>7.0232859999999953E-2</v>
      </c>
      <c r="H429">
        <f t="shared" si="12"/>
        <v>9.4644133119316937E-3</v>
      </c>
      <c r="J429">
        <f t="shared" si="13"/>
        <v>1.9187261289904969</v>
      </c>
    </row>
    <row r="430" spans="1:10" x14ac:dyDescent="0.3">
      <c r="A430">
        <v>5</v>
      </c>
      <c r="B430">
        <v>1989</v>
      </c>
      <c r="C430">
        <v>0.54154809999999998</v>
      </c>
      <c r="D430">
        <v>0.56760670617222697</v>
      </c>
      <c r="G430">
        <v>6.9503699999999946E-2</v>
      </c>
      <c r="H430">
        <f t="shared" si="12"/>
        <v>6.7905095563922677E-4</v>
      </c>
      <c r="J430">
        <f t="shared" si="13"/>
        <v>0.14056801606214811</v>
      </c>
    </row>
    <row r="431" spans="1:10" x14ac:dyDescent="0.3">
      <c r="A431">
        <v>5</v>
      </c>
      <c r="B431">
        <v>1990</v>
      </c>
      <c r="C431">
        <v>0.72288010000000003</v>
      </c>
      <c r="D431">
        <v>0.58838628232479095</v>
      </c>
      <c r="G431">
        <v>7.2027339999999995E-2</v>
      </c>
      <c r="H431">
        <f t="shared" si="12"/>
        <v>1.808858699285238E-2</v>
      </c>
      <c r="J431">
        <f t="shared" si="13"/>
        <v>3.4866623334330886</v>
      </c>
    </row>
    <row r="432" spans="1:10" x14ac:dyDescent="0.3">
      <c r="A432">
        <v>5</v>
      </c>
      <c r="B432">
        <v>1991</v>
      </c>
      <c r="C432">
        <v>0.70119430000000005</v>
      </c>
      <c r="D432">
        <v>0.60945008322596494</v>
      </c>
      <c r="G432">
        <v>6.9720759999999937E-2</v>
      </c>
      <c r="H432">
        <f t="shared" si="12"/>
        <v>8.4170013114811433E-3</v>
      </c>
      <c r="J432">
        <f t="shared" si="13"/>
        <v>1.7315425564436102</v>
      </c>
    </row>
    <row r="433" spans="1:10" x14ac:dyDescent="0.3">
      <c r="A433">
        <v>5</v>
      </c>
      <c r="B433">
        <v>1992</v>
      </c>
      <c r="C433">
        <v>0.48719456999999999</v>
      </c>
      <c r="D433">
        <v>0.63074358180165202</v>
      </c>
      <c r="G433">
        <v>6.8029430000000002E-2</v>
      </c>
      <c r="H433">
        <f t="shared" si="12"/>
        <v>2.0606318789230832E-2</v>
      </c>
      <c r="J433">
        <f t="shared" si="13"/>
        <v>4.4525289305343367</v>
      </c>
    </row>
    <row r="434" spans="1:10" x14ac:dyDescent="0.3">
      <c r="A434">
        <v>5</v>
      </c>
      <c r="B434">
        <v>1993</v>
      </c>
      <c r="C434">
        <v>0.52800493999999998</v>
      </c>
      <c r="D434">
        <v>0.65221057459711995</v>
      </c>
      <c r="G434">
        <v>7.4980899999999961E-2</v>
      </c>
      <c r="H434">
        <f t="shared" si="12"/>
        <v>1.5427039665673286E-2</v>
      </c>
      <c r="J434">
        <f t="shared" si="13"/>
        <v>2.7439822531193463</v>
      </c>
    </row>
    <row r="435" spans="1:10" x14ac:dyDescent="0.3">
      <c r="A435">
        <v>5</v>
      </c>
      <c r="B435">
        <v>1994</v>
      </c>
      <c r="C435">
        <v>0.59584755</v>
      </c>
      <c r="D435">
        <v>0.67379352822899796</v>
      </c>
      <c r="G435">
        <v>7.0273669999999955E-2</v>
      </c>
      <c r="H435">
        <f t="shared" si="12"/>
        <v>6.0755755220754234E-3</v>
      </c>
      <c r="J435">
        <f t="shared" si="13"/>
        <v>1.2302748724287305</v>
      </c>
    </row>
    <row r="436" spans="1:10" x14ac:dyDescent="0.3">
      <c r="A436">
        <v>5</v>
      </c>
      <c r="B436">
        <v>1995</v>
      </c>
      <c r="C436">
        <v>0.73916389999999998</v>
      </c>
      <c r="D436">
        <v>0.69543345272541002</v>
      </c>
      <c r="G436">
        <v>6.6420759999999968E-2</v>
      </c>
      <c r="H436">
        <f t="shared" si="12"/>
        <v>1.9123520188356932E-3</v>
      </c>
      <c r="J436">
        <f t="shared" si="13"/>
        <v>0.43347110959956781</v>
      </c>
    </row>
    <row r="437" spans="1:10" x14ac:dyDescent="0.3">
      <c r="A437">
        <v>5</v>
      </c>
      <c r="B437">
        <v>1996</v>
      </c>
      <c r="C437">
        <v>0.63898710000000003</v>
      </c>
      <c r="D437">
        <v>0.71707008779048897</v>
      </c>
      <c r="G437">
        <v>6.7018750000000016E-2</v>
      </c>
      <c r="H437">
        <f t="shared" si="12"/>
        <v>6.0969529822896456E-3</v>
      </c>
      <c r="J437">
        <f t="shared" si="13"/>
        <v>1.3574386145124007</v>
      </c>
    </row>
    <row r="438" spans="1:10" x14ac:dyDescent="0.3">
      <c r="A438">
        <v>5</v>
      </c>
      <c r="B438">
        <v>1997</v>
      </c>
      <c r="C438">
        <v>0.78460629999999998</v>
      </c>
      <c r="D438">
        <v>0.73864206671714705</v>
      </c>
      <c r="G438">
        <v>6.4435360000000053E-2</v>
      </c>
      <c r="H438">
        <f t="shared" si="12"/>
        <v>2.1127107412805251E-3</v>
      </c>
      <c r="J438">
        <f t="shared" si="13"/>
        <v>0.5088520421642162</v>
      </c>
    </row>
    <row r="439" spans="1:10" x14ac:dyDescent="0.3">
      <c r="A439">
        <v>5</v>
      </c>
      <c r="B439">
        <v>1998</v>
      </c>
      <c r="C439">
        <v>0.93963945000000004</v>
      </c>
      <c r="D439">
        <v>0.76008697599172503</v>
      </c>
      <c r="G439">
        <v>6.8545859999999958E-2</v>
      </c>
      <c r="H439">
        <f t="shared" si="12"/>
        <v>3.2239090922492275E-2</v>
      </c>
      <c r="J439">
        <f t="shared" si="13"/>
        <v>6.8615199099020181</v>
      </c>
    </row>
    <row r="440" spans="1:10" x14ac:dyDescent="0.3">
      <c r="A440">
        <v>5</v>
      </c>
      <c r="B440">
        <v>1999</v>
      </c>
      <c r="C440">
        <v>0.68678269999999997</v>
      </c>
      <c r="D440">
        <v>0.781341422349214</v>
      </c>
      <c r="G440">
        <v>6.3300429999999963E-2</v>
      </c>
      <c r="H440">
        <f t="shared" si="12"/>
        <v>8.9413519723157489E-3</v>
      </c>
      <c r="J440">
        <f t="shared" si="13"/>
        <v>2.2314639272527792</v>
      </c>
    </row>
    <row r="441" spans="1:10" x14ac:dyDescent="0.3">
      <c r="A441">
        <v>5</v>
      </c>
      <c r="B441">
        <v>2000</v>
      </c>
      <c r="C441">
        <v>0.69338250000000001</v>
      </c>
      <c r="D441">
        <v>0.80234117060899701</v>
      </c>
      <c r="G441">
        <v>6.5713839999999912E-2</v>
      </c>
      <c r="H441">
        <f t="shared" si="12"/>
        <v>1.1871991900879907E-2</v>
      </c>
      <c r="J441">
        <f t="shared" si="13"/>
        <v>2.7492225637277974</v>
      </c>
    </row>
    <row r="442" spans="1:10" x14ac:dyDescent="0.3">
      <c r="A442">
        <v>5</v>
      </c>
      <c r="B442">
        <v>2001</v>
      </c>
      <c r="C442">
        <v>0.8515781</v>
      </c>
      <c r="D442">
        <v>0.82302130758762304</v>
      </c>
      <c r="G442">
        <v>6.2424050000000064E-2</v>
      </c>
      <c r="H442">
        <f t="shared" si="12"/>
        <v>8.1549039288359056E-4</v>
      </c>
      <c r="J442">
        <f t="shared" si="13"/>
        <v>0.20927385070795365</v>
      </c>
    </row>
    <row r="443" spans="1:10" x14ac:dyDescent="0.3">
      <c r="A443">
        <v>5</v>
      </c>
      <c r="B443">
        <v>2002</v>
      </c>
      <c r="C443">
        <v>0.90576429999999997</v>
      </c>
      <c r="D443">
        <v>0.84331615269184101</v>
      </c>
      <c r="G443">
        <v>6.136929999999996E-2</v>
      </c>
      <c r="H443">
        <f t="shared" si="12"/>
        <v>3.8997711022215201E-3</v>
      </c>
      <c r="J443">
        <f t="shared" si="13"/>
        <v>1.0354682278069736</v>
      </c>
    </row>
    <row r="444" spans="1:10" x14ac:dyDescent="0.3">
      <c r="A444">
        <v>5</v>
      </c>
      <c r="B444">
        <v>2003</v>
      </c>
      <c r="C444">
        <v>0.90646789999999999</v>
      </c>
      <c r="D444">
        <v>0.86315969005227</v>
      </c>
      <c r="G444">
        <v>6.5855100000000055E-2</v>
      </c>
      <c r="H444">
        <f t="shared" si="12"/>
        <v>1.875601048876659E-3</v>
      </c>
      <c r="J444">
        <f t="shared" si="13"/>
        <v>0.43247562981873833</v>
      </c>
    </row>
    <row r="445" spans="1:10" x14ac:dyDescent="0.3">
      <c r="A445">
        <v>5</v>
      </c>
      <c r="B445">
        <v>2004</v>
      </c>
      <c r="C445">
        <v>0.82966846000000005</v>
      </c>
      <c r="D445">
        <v>0.882485341280698</v>
      </c>
      <c r="G445">
        <v>6.6064800000000035E-2</v>
      </c>
      <c r="H445">
        <f t="shared" si="12"/>
        <v>2.789622948219341E-3</v>
      </c>
      <c r="J445">
        <f t="shared" si="13"/>
        <v>0.63915362716308288</v>
      </c>
    </row>
    <row r="446" spans="1:10" x14ac:dyDescent="0.3">
      <c r="A446">
        <v>5</v>
      </c>
      <c r="B446">
        <v>2005</v>
      </c>
      <c r="C446">
        <v>0.96916026</v>
      </c>
      <c r="D446">
        <v>0.90122626721858901</v>
      </c>
      <c r="G446">
        <v>6.2314439999999971E-2</v>
      </c>
      <c r="H446">
        <f t="shared" si="12"/>
        <v>4.6150273752248007E-3</v>
      </c>
      <c r="J446">
        <f t="shared" si="13"/>
        <v>1.188493712398843</v>
      </c>
    </row>
    <row r="447" spans="1:10" x14ac:dyDescent="0.3">
      <c r="A447">
        <v>5</v>
      </c>
      <c r="B447">
        <v>2006</v>
      </c>
      <c r="C447">
        <v>0.93485045</v>
      </c>
      <c r="D447">
        <v>0.919315345585346</v>
      </c>
      <c r="G447">
        <v>6.1159370000000046E-2</v>
      </c>
      <c r="H447">
        <f t="shared" si="12"/>
        <v>2.4133946917420218E-4</v>
      </c>
      <c r="J447">
        <f t="shared" si="13"/>
        <v>6.4521186763363936E-2</v>
      </c>
    </row>
    <row r="448" spans="1:10" x14ac:dyDescent="0.3">
      <c r="A448">
        <v>5</v>
      </c>
      <c r="B448">
        <v>2007</v>
      </c>
      <c r="C448">
        <v>0.95399909999999999</v>
      </c>
      <c r="D448">
        <v>0.93668550252914395</v>
      </c>
      <c r="G448">
        <v>6.0696299999999925E-2</v>
      </c>
      <c r="H448">
        <f t="shared" si="12"/>
        <v>2.9976065738283246E-4</v>
      </c>
      <c r="J448">
        <f t="shared" si="13"/>
        <v>8.1367354737647585E-2</v>
      </c>
    </row>
    <row r="449" spans="1:16" x14ac:dyDescent="0.3">
      <c r="A449">
        <v>5</v>
      </c>
      <c r="B449">
        <v>2008</v>
      </c>
      <c r="C449">
        <v>0.82794760000000001</v>
      </c>
      <c r="D449">
        <v>0.95326942577958096</v>
      </c>
      <c r="G449">
        <v>6.598499999999996E-2</v>
      </c>
      <c r="H449">
        <f t="shared" si="12"/>
        <v>1.570556001672764E-2</v>
      </c>
      <c r="J449">
        <f t="shared" si="13"/>
        <v>3.6071398856967094</v>
      </c>
    </row>
    <row r="450" spans="1:16" x14ac:dyDescent="0.3">
      <c r="A450">
        <v>5</v>
      </c>
      <c r="B450">
        <v>2009</v>
      </c>
      <c r="C450">
        <v>0.95907940000000003</v>
      </c>
      <c r="D450">
        <v>0.96900010481476695</v>
      </c>
      <c r="G450">
        <v>6.3052039999999976E-2</v>
      </c>
      <c r="H450">
        <f t="shared" ref="H450:H513" si="14">(C450-D450)^2</f>
        <v>9.8420384021739602E-5</v>
      </c>
      <c r="J450">
        <f t="shared" si="13"/>
        <v>2.4756358917068663E-2</v>
      </c>
    </row>
    <row r="451" spans="1:16" x14ac:dyDescent="0.3">
      <c r="A451">
        <v>5</v>
      </c>
      <c r="B451">
        <v>2010</v>
      </c>
      <c r="C451">
        <v>1.0426692</v>
      </c>
      <c r="D451">
        <v>0.98381067812442702</v>
      </c>
      <c r="G451">
        <v>6.2591000000000063E-2</v>
      </c>
      <c r="H451">
        <f t="shared" si="14"/>
        <v>3.464325597377299E-3</v>
      </c>
      <c r="J451">
        <f t="shared" ref="J451:J514" si="15">H451/(G451^2)</f>
        <v>0.88429042457312423</v>
      </c>
    </row>
    <row r="452" spans="1:16" x14ac:dyDescent="0.3">
      <c r="A452">
        <v>5</v>
      </c>
      <c r="B452">
        <v>2011</v>
      </c>
      <c r="C452">
        <v>0.89999549999999995</v>
      </c>
      <c r="D452">
        <v>0.99763451516628199</v>
      </c>
      <c r="G452">
        <v>6.339311000000003E-2</v>
      </c>
      <c r="H452">
        <f t="shared" si="14"/>
        <v>9.5333772826414545E-3</v>
      </c>
      <c r="J452">
        <f t="shared" si="15"/>
        <v>2.3722620638880434</v>
      </c>
    </row>
    <row r="453" spans="1:16" x14ac:dyDescent="0.3">
      <c r="A453">
        <v>5</v>
      </c>
      <c r="B453">
        <v>2012</v>
      </c>
      <c r="C453">
        <v>0.93990479999999998</v>
      </c>
      <c r="D453">
        <v>1.01040553301572</v>
      </c>
      <c r="G453">
        <v>6.5503599999999995E-2</v>
      </c>
      <c r="H453">
        <f t="shared" si="14"/>
        <v>4.9703533557538346E-3</v>
      </c>
      <c r="J453">
        <f t="shared" si="15"/>
        <v>1.1583956742243606</v>
      </c>
    </row>
    <row r="454" spans="1:16" x14ac:dyDescent="0.3">
      <c r="A454">
        <v>5</v>
      </c>
      <c r="B454">
        <v>2013</v>
      </c>
      <c r="C454">
        <v>0.98587309999999995</v>
      </c>
      <c r="D454">
        <v>1.0220579989254399</v>
      </c>
      <c r="G454">
        <v>7.0183000000000106E-2</v>
      </c>
      <c r="H454">
        <f t="shared" si="14"/>
        <v>1.3093469102443064E-3</v>
      </c>
      <c r="J454">
        <f t="shared" si="15"/>
        <v>0.26582196924090257</v>
      </c>
    </row>
    <row r="455" spans="1:16" x14ac:dyDescent="0.3">
      <c r="A455">
        <v>5</v>
      </c>
      <c r="B455">
        <v>2014</v>
      </c>
      <c r="C455">
        <v>1.0351694</v>
      </c>
      <c r="D455">
        <v>1.03252701461315</v>
      </c>
      <c r="G455">
        <v>6.7933499999999869E-2</v>
      </c>
      <c r="H455">
        <f t="shared" si="14"/>
        <v>6.9822005326385371E-6</v>
      </c>
      <c r="J455">
        <f t="shared" si="15"/>
        <v>1.51294916831257E-3</v>
      </c>
    </row>
    <row r="456" spans="1:16" x14ac:dyDescent="0.3">
      <c r="A456">
        <v>5</v>
      </c>
      <c r="B456">
        <v>2015</v>
      </c>
      <c r="C456">
        <v>1.1874121</v>
      </c>
      <c r="D456">
        <v>1.04174822196364</v>
      </c>
      <c r="G456">
        <v>6.7654600000000009E-2</v>
      </c>
      <c r="H456">
        <f t="shared" si="14"/>
        <v>2.1217965364591543E-2</v>
      </c>
      <c r="J456">
        <f t="shared" si="15"/>
        <v>4.6356333091430422</v>
      </c>
    </row>
    <row r="457" spans="1:16" x14ac:dyDescent="0.3">
      <c r="A457">
        <v>6</v>
      </c>
      <c r="B457">
        <v>1925</v>
      </c>
      <c r="C457">
        <v>8.0155770000000001E-2</v>
      </c>
      <c r="D457">
        <v>0.104129791259765</v>
      </c>
      <c r="G457">
        <v>0.22561889600000001</v>
      </c>
      <c r="H457">
        <f t="shared" si="14"/>
        <v>5.7475369536366411E-4</v>
      </c>
      <c r="J457">
        <f t="shared" si="15"/>
        <v>1.1290959058434935E-2</v>
      </c>
      <c r="K457">
        <f>SUM(J457:J547)</f>
        <v>102.84393260313712</v>
      </c>
      <c r="M457">
        <f>K457/84</f>
        <v>1.2243325309897277</v>
      </c>
      <c r="N457" t="s">
        <v>9</v>
      </c>
      <c r="O457">
        <f>K457 + 90*LOG(6)</f>
        <v>172.87754513766504</v>
      </c>
      <c r="P457" t="s">
        <v>8</v>
      </c>
    </row>
    <row r="458" spans="1:16" x14ac:dyDescent="0.3">
      <c r="A458">
        <v>6</v>
      </c>
      <c r="B458">
        <v>1926</v>
      </c>
      <c r="C458">
        <v>0.23974274000000001</v>
      </c>
      <c r="D458">
        <v>0.11105537414550699</v>
      </c>
      <c r="G458">
        <v>0.21658418000000002</v>
      </c>
      <c r="H458">
        <f t="shared" si="14"/>
        <v>1.656043813056814E-2</v>
      </c>
      <c r="J458">
        <f t="shared" si="15"/>
        <v>0.35303548488968256</v>
      </c>
    </row>
    <row r="459" spans="1:16" x14ac:dyDescent="0.3">
      <c r="A459">
        <v>6</v>
      </c>
      <c r="B459">
        <v>1927</v>
      </c>
      <c r="C459">
        <v>0.13318415</v>
      </c>
      <c r="D459">
        <v>0.121395111083984</v>
      </c>
      <c r="G459">
        <v>0.20616828800000001</v>
      </c>
      <c r="H459">
        <f t="shared" si="14"/>
        <v>1.3898143856333971E-4</v>
      </c>
      <c r="J459">
        <f t="shared" si="15"/>
        <v>3.2697388948079581E-3</v>
      </c>
    </row>
    <row r="460" spans="1:16" x14ac:dyDescent="0.3">
      <c r="A460">
        <v>6</v>
      </c>
      <c r="B460">
        <v>1928</v>
      </c>
      <c r="C460">
        <v>0.15583193000000001</v>
      </c>
      <c r="D460">
        <v>0.13438796997070299</v>
      </c>
      <c r="G460">
        <v>0.22194212700000002</v>
      </c>
      <c r="H460">
        <f t="shared" si="14"/>
        <v>4.5984342173808828E-4</v>
      </c>
      <c r="J460">
        <f t="shared" si="15"/>
        <v>9.3353475354986237E-3</v>
      </c>
    </row>
    <row r="461" spans="1:16" x14ac:dyDescent="0.3">
      <c r="A461">
        <v>6</v>
      </c>
      <c r="B461">
        <v>1929</v>
      </c>
      <c r="C461">
        <v>-3.0145284000000001E-2</v>
      </c>
      <c r="D461">
        <v>0.14927864074707001</v>
      </c>
      <c r="G461">
        <v>0.22083399999999997</v>
      </c>
      <c r="H461">
        <f t="shared" si="14"/>
        <v>3.2192944771642237E-2</v>
      </c>
      <c r="J461">
        <f t="shared" si="15"/>
        <v>0.66012902208667834</v>
      </c>
    </row>
    <row r="462" spans="1:16" x14ac:dyDescent="0.3">
      <c r="A462">
        <v>6</v>
      </c>
      <c r="B462">
        <v>1930</v>
      </c>
      <c r="C462">
        <v>0.18549231999999999</v>
      </c>
      <c r="D462">
        <v>0.16550827026367099</v>
      </c>
      <c r="G462">
        <v>0.22721205999999999</v>
      </c>
      <c r="H462">
        <f t="shared" si="14"/>
        <v>3.9936224386407125E-4</v>
      </c>
      <c r="J462">
        <f t="shared" si="15"/>
        <v>7.7357824076220959E-3</v>
      </c>
    </row>
    <row r="463" spans="1:16" x14ac:dyDescent="0.3">
      <c r="A463">
        <v>6</v>
      </c>
      <c r="B463">
        <v>1931</v>
      </c>
      <c r="C463">
        <v>0.25890007999999998</v>
      </c>
      <c r="D463">
        <v>0.18245506286620999</v>
      </c>
      <c r="G463">
        <v>0.21858786000000002</v>
      </c>
      <c r="H463">
        <f t="shared" si="14"/>
        <v>5.8438406445854444E-3</v>
      </c>
      <c r="J463">
        <f t="shared" si="15"/>
        <v>0.1223055846667037</v>
      </c>
    </row>
    <row r="464" spans="1:16" x14ac:dyDescent="0.3">
      <c r="A464">
        <v>6</v>
      </c>
      <c r="B464">
        <v>1932</v>
      </c>
      <c r="C464">
        <v>0.21683604000000001</v>
      </c>
      <c r="D464">
        <v>0.19969367980957001</v>
      </c>
      <c r="G464">
        <v>0.21298692999999999</v>
      </c>
      <c r="H464">
        <f t="shared" si="14"/>
        <v>2.9386051289843928E-4</v>
      </c>
      <c r="J464">
        <f t="shared" si="15"/>
        <v>6.4779161908610659E-3</v>
      </c>
    </row>
    <row r="465" spans="1:10" x14ac:dyDescent="0.3">
      <c r="A465">
        <v>6</v>
      </c>
      <c r="B465">
        <v>1933</v>
      </c>
      <c r="C465">
        <v>3.9953324999999998E-2</v>
      </c>
      <c r="D465">
        <v>0.21676826477050701</v>
      </c>
      <c r="G465">
        <v>0.20951196</v>
      </c>
      <c r="H465">
        <f t="shared" si="14"/>
        <v>3.1263522926048018E-2</v>
      </c>
      <c r="J465">
        <f t="shared" si="15"/>
        <v>0.71223002075860298</v>
      </c>
    </row>
    <row r="466" spans="1:10" x14ac:dyDescent="0.3">
      <c r="A466">
        <v>6</v>
      </c>
      <c r="B466">
        <v>1934</v>
      </c>
      <c r="C466">
        <v>0.18796089999999999</v>
      </c>
      <c r="D466">
        <v>0.23334121704101499</v>
      </c>
      <c r="G466">
        <v>0.19933419999999999</v>
      </c>
      <c r="H466">
        <f t="shared" si="14"/>
        <v>2.0593731747430366E-3</v>
      </c>
      <c r="J466">
        <f t="shared" si="15"/>
        <v>5.182883134809177E-2</v>
      </c>
    </row>
    <row r="467" spans="1:10" x14ac:dyDescent="0.3">
      <c r="A467">
        <v>6</v>
      </c>
      <c r="B467">
        <v>1935</v>
      </c>
      <c r="C467">
        <v>0.15623851</v>
      </c>
      <c r="D467">
        <v>0.249076843261718</v>
      </c>
      <c r="G467">
        <v>0.19487621700000002</v>
      </c>
      <c r="H467">
        <f t="shared" si="14"/>
        <v>8.6189561228138152E-3</v>
      </c>
      <c r="J467">
        <f t="shared" si="15"/>
        <v>0.2269535545614273</v>
      </c>
    </row>
    <row r="468" spans="1:10" x14ac:dyDescent="0.3">
      <c r="A468">
        <v>6</v>
      </c>
      <c r="B468">
        <v>1936</v>
      </c>
      <c r="C468">
        <v>0.1927768</v>
      </c>
      <c r="D468">
        <v>0.263778686523437</v>
      </c>
      <c r="G468">
        <v>0.18799661000000001</v>
      </c>
      <c r="H468">
        <f t="shared" si="14"/>
        <v>5.0412678898870246E-3</v>
      </c>
      <c r="J468">
        <f t="shared" si="15"/>
        <v>0.14263947776798719</v>
      </c>
    </row>
    <row r="469" spans="1:10" x14ac:dyDescent="0.3">
      <c r="A469">
        <v>6</v>
      </c>
      <c r="B469">
        <v>1937</v>
      </c>
      <c r="C469">
        <v>0.34309879999999998</v>
      </c>
      <c r="D469">
        <v>0.2772216796875</v>
      </c>
      <c r="G469">
        <v>0.20111965000000001</v>
      </c>
      <c r="H469">
        <f t="shared" si="14"/>
        <v>4.3397949806675976E-3</v>
      </c>
      <c r="J469">
        <f t="shared" si="15"/>
        <v>0.10729023686041443</v>
      </c>
    </row>
    <row r="470" spans="1:10" x14ac:dyDescent="0.3">
      <c r="A470">
        <v>6</v>
      </c>
      <c r="B470">
        <v>1938</v>
      </c>
      <c r="C470">
        <v>0.35009699999999999</v>
      </c>
      <c r="D470">
        <v>0.28921699523925698</v>
      </c>
      <c r="G470">
        <v>0.19620601999999998</v>
      </c>
      <c r="H470">
        <f t="shared" si="14"/>
        <v>3.7063749796680916E-3</v>
      </c>
      <c r="J470">
        <f t="shared" si="15"/>
        <v>9.6277476562914077E-2</v>
      </c>
    </row>
    <row r="471" spans="1:10" x14ac:dyDescent="0.3">
      <c r="A471">
        <v>6</v>
      </c>
      <c r="B471">
        <v>1939</v>
      </c>
      <c r="C471">
        <v>0.32150054</v>
      </c>
      <c r="D471">
        <v>0.29971694946289001</v>
      </c>
      <c r="G471">
        <v>0.21181498999999998</v>
      </c>
      <c r="H471">
        <f t="shared" si="14"/>
        <v>4.7452481668846776E-4</v>
      </c>
      <c r="J471">
        <f t="shared" si="15"/>
        <v>1.0576587019316635E-2</v>
      </c>
    </row>
    <row r="472" spans="1:10" x14ac:dyDescent="0.3">
      <c r="A472">
        <v>6</v>
      </c>
      <c r="B472">
        <v>1940</v>
      </c>
      <c r="C472">
        <v>0.43823355000000003</v>
      </c>
      <c r="D472">
        <v>0.30859375</v>
      </c>
      <c r="G472">
        <v>0.23577104999999998</v>
      </c>
      <c r="H472">
        <f t="shared" si="14"/>
        <v>1.6806477744040007E-2</v>
      </c>
      <c r="J472">
        <f t="shared" si="15"/>
        <v>0.3023400979824436</v>
      </c>
    </row>
    <row r="473" spans="1:10" x14ac:dyDescent="0.3">
      <c r="A473">
        <v>6</v>
      </c>
      <c r="B473">
        <v>1941</v>
      </c>
      <c r="C473">
        <v>0.40042704000000001</v>
      </c>
      <c r="D473">
        <v>0.31583786010742099</v>
      </c>
      <c r="G473">
        <v>0.40076646999999999</v>
      </c>
      <c r="H473">
        <f t="shared" si="14"/>
        <v>7.1553293548990956E-3</v>
      </c>
      <c r="J473">
        <f t="shared" si="15"/>
        <v>4.4549914029980819E-2</v>
      </c>
    </row>
    <row r="474" spans="1:10" x14ac:dyDescent="0.3">
      <c r="A474">
        <v>6</v>
      </c>
      <c r="B474">
        <v>1942</v>
      </c>
      <c r="C474">
        <v>0.36370382000000001</v>
      </c>
      <c r="D474">
        <v>0.3214111328125</v>
      </c>
      <c r="G474">
        <v>0.39323698000000007</v>
      </c>
      <c r="H474">
        <f t="shared" si="14"/>
        <v>1.7886713895397277E-3</v>
      </c>
      <c r="J474">
        <f t="shared" si="15"/>
        <v>1.1567029843645821E-2</v>
      </c>
    </row>
    <row r="475" spans="1:10" x14ac:dyDescent="0.3">
      <c r="A475">
        <v>6</v>
      </c>
      <c r="B475">
        <v>1943</v>
      </c>
      <c r="C475">
        <v>0.36871934000000001</v>
      </c>
      <c r="D475">
        <v>0.32538795471191401</v>
      </c>
      <c r="G475">
        <v>0.41200937000000004</v>
      </c>
      <c r="H475">
        <f t="shared" si="14"/>
        <v>1.8776089509845559E-3</v>
      </c>
      <c r="J475">
        <f t="shared" si="15"/>
        <v>1.106091260977997E-2</v>
      </c>
    </row>
    <row r="476" spans="1:10" x14ac:dyDescent="0.3">
      <c r="A476">
        <v>6</v>
      </c>
      <c r="B476">
        <v>1944</v>
      </c>
      <c r="C476">
        <v>0.50640289999999999</v>
      </c>
      <c r="D476">
        <v>0.32776641845703097</v>
      </c>
      <c r="G476">
        <v>0.39719992000000004</v>
      </c>
      <c r="H476">
        <f t="shared" si="14"/>
        <v>3.1910992538051512E-2</v>
      </c>
      <c r="J476">
        <f t="shared" si="15"/>
        <v>0.20226559096222049</v>
      </c>
    </row>
    <row r="477" spans="1:10" x14ac:dyDescent="0.3">
      <c r="A477">
        <v>6</v>
      </c>
      <c r="B477">
        <v>1945</v>
      </c>
      <c r="C477">
        <v>0.40538610000000003</v>
      </c>
      <c r="D477">
        <v>0.32862472534179599</v>
      </c>
      <c r="G477">
        <v>0.40074251999999999</v>
      </c>
      <c r="H477">
        <f t="shared" si="14"/>
        <v>5.8923086394171691E-3</v>
      </c>
      <c r="J477">
        <f t="shared" si="15"/>
        <v>3.6690585099874225E-2</v>
      </c>
    </row>
    <row r="478" spans="1:10" x14ac:dyDescent="0.3">
      <c r="A478">
        <v>6</v>
      </c>
      <c r="B478">
        <v>1946</v>
      </c>
      <c r="C478">
        <v>0.24348313999999999</v>
      </c>
      <c r="D478">
        <v>0.32810020446777299</v>
      </c>
      <c r="G478">
        <v>0.29427287000000002</v>
      </c>
      <c r="H478">
        <f t="shared" si="14"/>
        <v>7.1600475991432534E-3</v>
      </c>
      <c r="J478">
        <f t="shared" si="15"/>
        <v>8.2682854141092527E-2</v>
      </c>
    </row>
    <row r="479" spans="1:10" x14ac:dyDescent="0.3">
      <c r="A479">
        <v>6</v>
      </c>
      <c r="B479">
        <v>1947</v>
      </c>
      <c r="C479">
        <v>0.27109214999999998</v>
      </c>
      <c r="D479">
        <v>0.32623863220214799</v>
      </c>
      <c r="G479">
        <v>0.28116972000000001</v>
      </c>
      <c r="H479">
        <f t="shared" si="14"/>
        <v>3.0411344992718279E-3</v>
      </c>
      <c r="J479">
        <f t="shared" si="15"/>
        <v>3.8467904673262839E-2</v>
      </c>
    </row>
    <row r="480" spans="1:10" x14ac:dyDescent="0.3">
      <c r="A480">
        <v>6</v>
      </c>
      <c r="B480">
        <v>1948</v>
      </c>
      <c r="C480">
        <v>0.23763648000000001</v>
      </c>
      <c r="D480">
        <v>0.32318496704101501</v>
      </c>
      <c r="G480">
        <v>0.26894422000000001</v>
      </c>
      <c r="H480">
        <f t="shared" si="14"/>
        <v>7.3185436350067115E-3</v>
      </c>
      <c r="J480">
        <f t="shared" si="15"/>
        <v>0.10118129564886519</v>
      </c>
    </row>
    <row r="481" spans="1:10" x14ac:dyDescent="0.3">
      <c r="A481">
        <v>6</v>
      </c>
      <c r="B481">
        <v>1949</v>
      </c>
      <c r="C481">
        <v>0.21849552</v>
      </c>
      <c r="D481">
        <v>0.31907463073730402</v>
      </c>
      <c r="G481">
        <v>0.22055050999999998</v>
      </c>
      <c r="H481">
        <f t="shared" si="14"/>
        <v>1.0116157516706865E-2</v>
      </c>
      <c r="J481">
        <f t="shared" si="15"/>
        <v>0.20796940547062612</v>
      </c>
    </row>
    <row r="482" spans="1:10" x14ac:dyDescent="0.3">
      <c r="A482">
        <v>6</v>
      </c>
      <c r="B482">
        <v>1950</v>
      </c>
      <c r="C482">
        <v>0.13567593999999999</v>
      </c>
      <c r="D482">
        <v>0.31407356262206998</v>
      </c>
      <c r="G482">
        <v>0.21207035199999999</v>
      </c>
      <c r="H482">
        <f t="shared" si="14"/>
        <v>3.1825711757206498E-2</v>
      </c>
      <c r="J482">
        <f t="shared" si="15"/>
        <v>0.70764951054681535</v>
      </c>
    </row>
    <row r="483" spans="1:10" x14ac:dyDescent="0.3">
      <c r="A483">
        <v>6</v>
      </c>
      <c r="B483">
        <v>1951</v>
      </c>
      <c r="C483">
        <v>0.30114380000000002</v>
      </c>
      <c r="D483">
        <v>0.30829238891601501</v>
      </c>
      <c r="G483">
        <v>0.17839253999999999</v>
      </c>
      <c r="H483">
        <f t="shared" si="14"/>
        <v>5.1102323490172474E-5</v>
      </c>
      <c r="J483">
        <f t="shared" si="15"/>
        <v>1.6057845259570217E-3</v>
      </c>
    </row>
    <row r="484" spans="1:10" x14ac:dyDescent="0.3">
      <c r="A484">
        <v>6</v>
      </c>
      <c r="B484">
        <v>1952</v>
      </c>
      <c r="C484">
        <v>0.3776523</v>
      </c>
      <c r="D484">
        <v>0.30193519592285101</v>
      </c>
      <c r="G484">
        <v>0.19658106999999997</v>
      </c>
      <c r="H484">
        <f t="shared" si="14"/>
        <v>5.7330798498298119E-3</v>
      </c>
      <c r="J484">
        <f t="shared" si="15"/>
        <v>0.14835582444834924</v>
      </c>
    </row>
    <row r="485" spans="1:10" x14ac:dyDescent="0.3">
      <c r="A485">
        <v>6</v>
      </c>
      <c r="B485">
        <v>1953</v>
      </c>
      <c r="C485">
        <v>0.4399285</v>
      </c>
      <c r="D485">
        <v>0.29513359069824202</v>
      </c>
      <c r="G485">
        <v>0.19632071000000001</v>
      </c>
      <c r="H485">
        <f t="shared" si="14"/>
        <v>2.0965565759704319E-2</v>
      </c>
      <c r="J485">
        <f t="shared" si="15"/>
        <v>0.54396925522958206</v>
      </c>
    </row>
    <row r="486" spans="1:10" x14ac:dyDescent="0.3">
      <c r="A486">
        <v>6</v>
      </c>
      <c r="B486">
        <v>1954</v>
      </c>
      <c r="C486">
        <v>0.24554751999999999</v>
      </c>
      <c r="D486">
        <v>0.288040161132812</v>
      </c>
      <c r="G486">
        <v>0.18350500999999997</v>
      </c>
      <c r="H486">
        <f t="shared" si="14"/>
        <v>1.805624550441947E-3</v>
      </c>
      <c r="J486">
        <f t="shared" si="15"/>
        <v>5.3620591392713274E-2</v>
      </c>
    </row>
    <row r="487" spans="1:10" x14ac:dyDescent="0.3">
      <c r="A487">
        <v>6</v>
      </c>
      <c r="B487">
        <v>1955</v>
      </c>
      <c r="C487">
        <v>0.16498779999999999</v>
      </c>
      <c r="D487">
        <v>0.28087615966796797</v>
      </c>
      <c r="G487">
        <v>0.17424004999999998</v>
      </c>
      <c r="H487">
        <f t="shared" si="14"/>
        <v>1.3430111906532309E-2</v>
      </c>
      <c r="J487">
        <f t="shared" si="15"/>
        <v>0.44236795306111215</v>
      </c>
    </row>
    <row r="488" spans="1:10" x14ac:dyDescent="0.3">
      <c r="A488">
        <v>6</v>
      </c>
      <c r="B488">
        <v>1956</v>
      </c>
      <c r="C488">
        <v>9.9132129999999999E-2</v>
      </c>
      <c r="D488">
        <v>0.27376365661620999</v>
      </c>
      <c r="G488">
        <v>0.15192007599999999</v>
      </c>
      <c r="H488">
        <f t="shared" si="14"/>
        <v>3.0496170088308065E-2</v>
      </c>
      <c r="J488">
        <f t="shared" si="15"/>
        <v>1.3213411589553405</v>
      </c>
    </row>
    <row r="489" spans="1:10" x14ac:dyDescent="0.3">
      <c r="A489">
        <v>6</v>
      </c>
      <c r="B489">
        <v>1957</v>
      </c>
      <c r="C489">
        <v>0.32696282999999998</v>
      </c>
      <c r="D489">
        <v>0.26685905456542902</v>
      </c>
      <c r="G489">
        <v>0.13046738999999996</v>
      </c>
      <c r="H489">
        <f t="shared" si="14"/>
        <v>3.6124638214893355E-3</v>
      </c>
      <c r="J489">
        <f t="shared" si="15"/>
        <v>0.21222647347446097</v>
      </c>
    </row>
    <row r="490" spans="1:10" x14ac:dyDescent="0.3">
      <c r="A490">
        <v>6</v>
      </c>
      <c r="B490">
        <v>1958</v>
      </c>
      <c r="C490">
        <v>0.3446652</v>
      </c>
      <c r="D490">
        <v>0.260330200195312</v>
      </c>
      <c r="G490">
        <v>0.13088402999999998</v>
      </c>
      <c r="H490">
        <f t="shared" si="14"/>
        <v>7.1123921920567259E-3</v>
      </c>
      <c r="J490">
        <f t="shared" si="15"/>
        <v>0.41518569246624676</v>
      </c>
    </row>
    <row r="491" spans="1:10" x14ac:dyDescent="0.3">
      <c r="A491">
        <v>6</v>
      </c>
      <c r="B491">
        <v>1959</v>
      </c>
      <c r="C491">
        <v>0.31429294000000002</v>
      </c>
      <c r="D491">
        <v>0.25432586669921797</v>
      </c>
      <c r="G491">
        <v>0.12471783000000003</v>
      </c>
      <c r="H491">
        <f t="shared" si="14"/>
        <v>3.5960498802613673E-3</v>
      </c>
      <c r="J491">
        <f t="shared" si="15"/>
        <v>0.23118977135350632</v>
      </c>
    </row>
    <row r="492" spans="1:10" x14ac:dyDescent="0.3">
      <c r="A492">
        <v>6</v>
      </c>
      <c r="B492">
        <v>1960</v>
      </c>
      <c r="C492">
        <v>0.24683817</v>
      </c>
      <c r="D492">
        <v>0.24898338317870999</v>
      </c>
      <c r="G492">
        <v>0.11735596999999998</v>
      </c>
      <c r="H492">
        <f t="shared" si="14"/>
        <v>4.6019395821110542E-6</v>
      </c>
      <c r="J492">
        <f t="shared" si="15"/>
        <v>3.341415922240146E-4</v>
      </c>
    </row>
    <row r="493" spans="1:10" x14ac:dyDescent="0.3">
      <c r="A493">
        <v>6</v>
      </c>
      <c r="B493">
        <v>1961</v>
      </c>
      <c r="C493">
        <v>0.34229797000000001</v>
      </c>
      <c r="D493">
        <v>0.24441337585449199</v>
      </c>
      <c r="G493">
        <v>0.10156016000000001</v>
      </c>
      <c r="H493">
        <f t="shared" si="14"/>
        <v>9.5813937710308213E-3</v>
      </c>
      <c r="J493">
        <f t="shared" si="15"/>
        <v>0.92892774854824345</v>
      </c>
    </row>
    <row r="494" spans="1:10" x14ac:dyDescent="0.3">
      <c r="A494">
        <v>6</v>
      </c>
      <c r="B494">
        <v>1962</v>
      </c>
      <c r="C494">
        <v>0.29825502999999998</v>
      </c>
      <c r="D494">
        <v>0.240768432617187</v>
      </c>
      <c r="G494">
        <v>0.10653303000000003</v>
      </c>
      <c r="H494">
        <f t="shared" si="14"/>
        <v>3.3047088786536398E-3</v>
      </c>
      <c r="J494">
        <f t="shared" si="15"/>
        <v>0.29118208304915549</v>
      </c>
    </row>
    <row r="495" spans="1:10" x14ac:dyDescent="0.3">
      <c r="A495">
        <v>6</v>
      </c>
      <c r="B495">
        <v>1963</v>
      </c>
      <c r="C495">
        <v>0.32548714000000001</v>
      </c>
      <c r="D495">
        <v>0.23816108703613201</v>
      </c>
      <c r="G495">
        <v>0.10753833000000002</v>
      </c>
      <c r="H495">
        <f t="shared" si="14"/>
        <v>7.625839526248279E-3</v>
      </c>
      <c r="J495">
        <f t="shared" si="15"/>
        <v>0.65941843790694721</v>
      </c>
    </row>
    <row r="496" spans="1:10" x14ac:dyDescent="0.3">
      <c r="A496">
        <v>6</v>
      </c>
      <c r="B496">
        <v>1964</v>
      </c>
      <c r="C496">
        <v>5.6436214999999998E-2</v>
      </c>
      <c r="D496">
        <v>0.23666191101074199</v>
      </c>
      <c r="G496">
        <v>8.726594E-2</v>
      </c>
      <c r="H496">
        <f t="shared" si="14"/>
        <v>3.2481301502556389E-2</v>
      </c>
      <c r="J496">
        <f t="shared" si="15"/>
        <v>4.2652439982843218</v>
      </c>
    </row>
    <row r="497" spans="1:10" x14ac:dyDescent="0.3">
      <c r="A497">
        <v>6</v>
      </c>
      <c r="B497">
        <v>1965</v>
      </c>
      <c r="C497">
        <v>0.15787726999999999</v>
      </c>
      <c r="D497">
        <v>0.23637962341308499</v>
      </c>
      <c r="G497">
        <v>9.838044E-2</v>
      </c>
      <c r="H497">
        <f t="shared" si="14"/>
        <v>6.1626194913928997E-3</v>
      </c>
      <c r="J497">
        <f t="shared" si="15"/>
        <v>0.63671903289287568</v>
      </c>
    </row>
    <row r="498" spans="1:10" x14ac:dyDescent="0.3">
      <c r="A498">
        <v>6</v>
      </c>
      <c r="B498">
        <v>1966</v>
      </c>
      <c r="C498">
        <v>0.21340013999999999</v>
      </c>
      <c r="D498">
        <v>0.23740005493163999</v>
      </c>
      <c r="G498">
        <v>9.9023140000000037E-2</v>
      </c>
      <c r="H498">
        <f t="shared" si="14"/>
        <v>5.7599591672595658E-4</v>
      </c>
      <c r="J498">
        <f t="shared" si="15"/>
        <v>5.8741633257448876E-2</v>
      </c>
    </row>
    <row r="499" spans="1:10" x14ac:dyDescent="0.3">
      <c r="A499">
        <v>6</v>
      </c>
      <c r="B499">
        <v>1967</v>
      </c>
      <c r="C499">
        <v>0.24475846000000001</v>
      </c>
      <c r="D499">
        <v>0.23978233337402299</v>
      </c>
      <c r="G499">
        <v>8.6234999999999978E-2</v>
      </c>
      <c r="H499">
        <f t="shared" si="14"/>
        <v>2.4761836197757418E-5</v>
      </c>
      <c r="J499">
        <f t="shared" si="15"/>
        <v>3.3297813074819231E-3</v>
      </c>
    </row>
    <row r="500" spans="1:10" x14ac:dyDescent="0.3">
      <c r="A500">
        <v>6</v>
      </c>
      <c r="B500">
        <v>1968</v>
      </c>
      <c r="C500">
        <v>0.19365019</v>
      </c>
      <c r="D500">
        <v>0.24357032775878901</v>
      </c>
      <c r="G500">
        <v>8.9255870000000015E-2</v>
      </c>
      <c r="H500">
        <f t="shared" si="14"/>
        <v>2.492020153856472E-3</v>
      </c>
      <c r="J500">
        <f t="shared" si="15"/>
        <v>0.31280808911189173</v>
      </c>
    </row>
    <row r="501" spans="1:10" x14ac:dyDescent="0.3">
      <c r="A501">
        <v>6</v>
      </c>
      <c r="B501">
        <v>1969</v>
      </c>
      <c r="C501">
        <v>0.33091152000000001</v>
      </c>
      <c r="D501">
        <v>0.248794555664062</v>
      </c>
      <c r="G501">
        <v>8.1010250000000006E-2</v>
      </c>
      <c r="H501">
        <f t="shared" si="14"/>
        <v>6.7431958317497155E-3</v>
      </c>
      <c r="J501">
        <f t="shared" si="15"/>
        <v>1.0275094565377871</v>
      </c>
    </row>
    <row r="502" spans="1:10" x14ac:dyDescent="0.3">
      <c r="A502">
        <v>6</v>
      </c>
      <c r="B502">
        <v>1970</v>
      </c>
      <c r="C502">
        <v>0.27723365999999999</v>
      </c>
      <c r="D502">
        <v>0.25549507141113198</v>
      </c>
      <c r="G502">
        <v>8.1977119999999987E-2</v>
      </c>
      <c r="H502">
        <f t="shared" si="14"/>
        <v>4.725662338360626E-4</v>
      </c>
      <c r="J502">
        <f t="shared" si="15"/>
        <v>7.0319758962226642E-2</v>
      </c>
    </row>
    <row r="503" spans="1:10" x14ac:dyDescent="0.3">
      <c r="A503">
        <v>6</v>
      </c>
      <c r="B503">
        <v>1971</v>
      </c>
      <c r="C503">
        <v>0.15640870000000001</v>
      </c>
      <c r="D503">
        <v>0.26363754272460899</v>
      </c>
      <c r="G503">
        <v>7.7166373999999996E-2</v>
      </c>
      <c r="H503">
        <f t="shared" si="14"/>
        <v>1.1498024712058926E-2</v>
      </c>
      <c r="J503">
        <f t="shared" si="15"/>
        <v>1.9309323149907109</v>
      </c>
    </row>
    <row r="504" spans="1:10" x14ac:dyDescent="0.3">
      <c r="A504">
        <v>6</v>
      </c>
      <c r="B504">
        <v>1972</v>
      </c>
      <c r="C504">
        <v>0.26850644000000001</v>
      </c>
      <c r="D504">
        <v>0.27325630187988198</v>
      </c>
      <c r="G504">
        <v>7.5784360000000023E-2</v>
      </c>
      <c r="H504">
        <f t="shared" si="14"/>
        <v>2.2561187877955855E-5</v>
      </c>
      <c r="J504">
        <f t="shared" si="15"/>
        <v>3.9282831800737279E-3</v>
      </c>
    </row>
    <row r="505" spans="1:10" x14ac:dyDescent="0.3">
      <c r="A505">
        <v>6</v>
      </c>
      <c r="B505">
        <v>1973</v>
      </c>
      <c r="C505">
        <v>0.4122479</v>
      </c>
      <c r="D505">
        <v>0.28433990478515597</v>
      </c>
      <c r="G505">
        <v>7.2942280000000026E-2</v>
      </c>
      <c r="H505">
        <f t="shared" si="14"/>
        <v>1.6360455239880563E-2</v>
      </c>
      <c r="J505">
        <f t="shared" si="15"/>
        <v>3.0749404931398518</v>
      </c>
    </row>
    <row r="506" spans="1:10" x14ac:dyDescent="0.3">
      <c r="A506">
        <v>6</v>
      </c>
      <c r="B506">
        <v>1974</v>
      </c>
      <c r="C506">
        <v>0.18977118000000001</v>
      </c>
      <c r="D506">
        <v>0.29683876037597601</v>
      </c>
      <c r="G506">
        <v>7.539816000000002E-2</v>
      </c>
      <c r="H506">
        <f t="shared" si="14"/>
        <v>1.146346676756608E-2</v>
      </c>
      <c r="J506">
        <f t="shared" si="15"/>
        <v>2.0164826105513276</v>
      </c>
    </row>
    <row r="507" spans="1:10" x14ac:dyDescent="0.3">
      <c r="A507">
        <v>6</v>
      </c>
      <c r="B507">
        <v>1975</v>
      </c>
      <c r="C507">
        <v>0.25154352000000002</v>
      </c>
      <c r="D507">
        <v>0.31066131591796797</v>
      </c>
      <c r="G507">
        <v>8.110176999999999E-2</v>
      </c>
      <c r="H507">
        <f t="shared" si="14"/>
        <v>3.4949137941985083E-3</v>
      </c>
      <c r="J507">
        <f t="shared" si="15"/>
        <v>0.53134402685208726</v>
      </c>
    </row>
    <row r="508" spans="1:10" x14ac:dyDescent="0.3">
      <c r="A508">
        <v>6</v>
      </c>
      <c r="B508">
        <v>1976</v>
      </c>
      <c r="C508">
        <v>0.14646085</v>
      </c>
      <c r="D508">
        <v>0.32581710815429599</v>
      </c>
      <c r="G508">
        <v>8.0047466000000012E-2</v>
      </c>
      <c r="H508">
        <f t="shared" si="14"/>
        <v>3.2168667339110467E-2</v>
      </c>
      <c r="J508">
        <f t="shared" si="15"/>
        <v>5.0203950525943064</v>
      </c>
    </row>
    <row r="509" spans="1:10" x14ac:dyDescent="0.3">
      <c r="A509">
        <v>6</v>
      </c>
      <c r="B509">
        <v>1977</v>
      </c>
      <c r="C509">
        <v>0.46538624000000001</v>
      </c>
      <c r="D509">
        <v>0.34221649169921797</v>
      </c>
      <c r="G509">
        <v>8.6063669999999981E-2</v>
      </c>
      <c r="H509">
        <f t="shared" si="14"/>
        <v>1.5170786896477998E-2</v>
      </c>
      <c r="J509">
        <f t="shared" si="15"/>
        <v>2.0481812424378489</v>
      </c>
    </row>
    <row r="510" spans="1:10" x14ac:dyDescent="0.3">
      <c r="A510">
        <v>6</v>
      </c>
      <c r="B510">
        <v>1978</v>
      </c>
      <c r="C510">
        <v>0.36755369999999998</v>
      </c>
      <c r="D510">
        <v>0.35972023010253901</v>
      </c>
      <c r="G510">
        <v>7.9705179999999987E-2</v>
      </c>
      <c r="H510">
        <f t="shared" si="14"/>
        <v>6.1363250634427277E-5</v>
      </c>
      <c r="J510">
        <f t="shared" si="15"/>
        <v>9.6590688984781979E-3</v>
      </c>
    </row>
    <row r="511" spans="1:10" x14ac:dyDescent="0.3">
      <c r="A511">
        <v>6</v>
      </c>
      <c r="B511">
        <v>1979</v>
      </c>
      <c r="C511">
        <v>0.45315588000000001</v>
      </c>
      <c r="D511">
        <v>0.37833786010742099</v>
      </c>
      <c r="G511">
        <v>5.6999040000000001E-2</v>
      </c>
      <c r="H511">
        <f t="shared" si="14"/>
        <v>5.5977361006463505E-3</v>
      </c>
      <c r="J511">
        <f t="shared" si="15"/>
        <v>1.7229685013023224</v>
      </c>
    </row>
    <row r="512" spans="1:10" x14ac:dyDescent="0.3">
      <c r="A512">
        <v>6</v>
      </c>
      <c r="B512">
        <v>1980</v>
      </c>
      <c r="C512">
        <v>0.55836980000000003</v>
      </c>
      <c r="D512">
        <v>0.39788818359375</v>
      </c>
      <c r="G512">
        <v>6.6536150000000016E-2</v>
      </c>
      <c r="H512">
        <f t="shared" si="14"/>
        <v>2.5754349204362779E-2</v>
      </c>
      <c r="J512">
        <f t="shared" si="15"/>
        <v>5.8174846349013691</v>
      </c>
    </row>
    <row r="513" spans="1:10" x14ac:dyDescent="0.3">
      <c r="A513">
        <v>6</v>
      </c>
      <c r="B513">
        <v>1981</v>
      </c>
      <c r="C513">
        <v>0.61230980000000002</v>
      </c>
      <c r="D513">
        <v>0.41826438903808499</v>
      </c>
      <c r="G513">
        <v>6.1241569999999967E-2</v>
      </c>
      <c r="H513">
        <f t="shared" si="14"/>
        <v>3.7653621515378488E-2</v>
      </c>
      <c r="J513">
        <f t="shared" si="15"/>
        <v>10.039547093034813</v>
      </c>
    </row>
    <row r="514" spans="1:10" x14ac:dyDescent="0.3">
      <c r="A514">
        <v>6</v>
      </c>
      <c r="B514">
        <v>1982</v>
      </c>
      <c r="C514">
        <v>0.39656603000000001</v>
      </c>
      <c r="D514">
        <v>0.43937492370605402</v>
      </c>
      <c r="G514">
        <v>7.8753829999999969E-2</v>
      </c>
      <c r="H514">
        <f t="shared" ref="H514:H577" si="16">(C514-D514)^2</f>
        <v>1.8326013803362305E-3</v>
      </c>
      <c r="J514">
        <f t="shared" si="15"/>
        <v>0.29547765365490936</v>
      </c>
    </row>
    <row r="515" spans="1:10" x14ac:dyDescent="0.3">
      <c r="A515">
        <v>6</v>
      </c>
      <c r="B515">
        <v>1983</v>
      </c>
      <c r="C515">
        <v>0.58610759999999995</v>
      </c>
      <c r="D515">
        <v>0.46109771728515597</v>
      </c>
      <c r="G515">
        <v>7.1531040000000101E-2</v>
      </c>
      <c r="H515">
        <f t="shared" si="16"/>
        <v>1.5627470776379049E-2</v>
      </c>
      <c r="J515">
        <f t="shared" ref="J515:J578" si="17">H515/(G515^2)</f>
        <v>3.054215077148366</v>
      </c>
    </row>
    <row r="516" spans="1:10" x14ac:dyDescent="0.3">
      <c r="A516">
        <v>6</v>
      </c>
      <c r="B516">
        <v>1984</v>
      </c>
      <c r="C516">
        <v>0.41029125</v>
      </c>
      <c r="D516">
        <v>0.48326683044433499</v>
      </c>
      <c r="G516">
        <v>7.2906699999999991E-2</v>
      </c>
      <c r="H516">
        <f t="shared" si="16"/>
        <v>5.3254353411876084E-3</v>
      </c>
      <c r="J516">
        <f t="shared" si="17"/>
        <v>1.0018904430622662</v>
      </c>
    </row>
    <row r="517" spans="1:10" x14ac:dyDescent="0.3">
      <c r="A517">
        <v>6</v>
      </c>
      <c r="B517">
        <v>1985</v>
      </c>
      <c r="C517">
        <v>0.41202748</v>
      </c>
      <c r="D517">
        <v>0.50576019287109297</v>
      </c>
      <c r="G517">
        <v>6.8132599999999988E-2</v>
      </c>
      <c r="H517">
        <f t="shared" si="16"/>
        <v>8.7858214621747577E-3</v>
      </c>
      <c r="J517">
        <f t="shared" si="17"/>
        <v>1.8926593258609916</v>
      </c>
    </row>
    <row r="518" spans="1:10" x14ac:dyDescent="0.3">
      <c r="A518">
        <v>6</v>
      </c>
      <c r="B518">
        <v>1986</v>
      </c>
      <c r="C518">
        <v>0.45798472000000001</v>
      </c>
      <c r="D518">
        <v>0.52845573425292902</v>
      </c>
      <c r="G518">
        <v>6.2557950000000029E-2</v>
      </c>
      <c r="H518">
        <f t="shared" si="16"/>
        <v>4.9661638498365232E-3</v>
      </c>
      <c r="J518">
        <f t="shared" si="17"/>
        <v>1.2689836513300803</v>
      </c>
    </row>
    <row r="519" spans="1:10" x14ac:dyDescent="0.3">
      <c r="A519">
        <v>6</v>
      </c>
      <c r="B519">
        <v>1987</v>
      </c>
      <c r="C519">
        <v>0.60532414999999995</v>
      </c>
      <c r="D519">
        <v>0.55122375488281194</v>
      </c>
      <c r="G519">
        <v>6.168169999999995E-2</v>
      </c>
      <c r="H519">
        <f t="shared" si="16"/>
        <v>2.9268527518358598E-3</v>
      </c>
      <c r="J519">
        <f t="shared" si="17"/>
        <v>0.76928666516302224</v>
      </c>
    </row>
    <row r="520" spans="1:10" x14ac:dyDescent="0.3">
      <c r="A520">
        <v>6</v>
      </c>
      <c r="B520">
        <v>1988</v>
      </c>
      <c r="C520">
        <v>0.64444950000000001</v>
      </c>
      <c r="D520">
        <v>0.57389450073242099</v>
      </c>
      <c r="G520">
        <v>7.0232859999999953E-2</v>
      </c>
      <c r="H520">
        <f t="shared" si="16"/>
        <v>4.978007921648076E-3</v>
      </c>
      <c r="J520">
        <f t="shared" si="17"/>
        <v>1.0091945009994905</v>
      </c>
    </row>
    <row r="521" spans="1:10" x14ac:dyDescent="0.3">
      <c r="A521">
        <v>6</v>
      </c>
      <c r="B521">
        <v>1989</v>
      </c>
      <c r="C521">
        <v>0.54154809999999998</v>
      </c>
      <c r="D521">
        <v>0.59637069702148404</v>
      </c>
      <c r="G521">
        <v>6.9503699999999946E-2</v>
      </c>
      <c r="H521">
        <f t="shared" si="16"/>
        <v>3.0055171441800334E-3</v>
      </c>
      <c r="J521">
        <f t="shared" si="17"/>
        <v>0.62216182554438493</v>
      </c>
    </row>
    <row r="522" spans="1:10" x14ac:dyDescent="0.3">
      <c r="A522">
        <v>6</v>
      </c>
      <c r="B522">
        <v>1990</v>
      </c>
      <c r="C522">
        <v>0.72288010000000003</v>
      </c>
      <c r="D522">
        <v>0.61851692199706998</v>
      </c>
      <c r="G522">
        <v>7.2027339999999995E-2</v>
      </c>
      <c r="H522">
        <f t="shared" si="16"/>
        <v>1.0891672922871262E-2</v>
      </c>
      <c r="J522">
        <f t="shared" si="17"/>
        <v>2.0994224558974217</v>
      </c>
    </row>
    <row r="523" spans="1:10" x14ac:dyDescent="0.3">
      <c r="A523">
        <v>6</v>
      </c>
      <c r="B523">
        <v>1991</v>
      </c>
      <c r="C523">
        <v>0.70119430000000005</v>
      </c>
      <c r="D523">
        <v>0.64023971557617099</v>
      </c>
      <c r="G523">
        <v>6.9720759999999937E-2</v>
      </c>
      <c r="H523">
        <f t="shared" si="16"/>
        <v>3.7154613622817044E-3</v>
      </c>
      <c r="J523">
        <f t="shared" si="17"/>
        <v>0.76434340776889098</v>
      </c>
    </row>
    <row r="524" spans="1:10" x14ac:dyDescent="0.3">
      <c r="A524">
        <v>6</v>
      </c>
      <c r="B524">
        <v>1992</v>
      </c>
      <c r="C524">
        <v>0.48719456999999999</v>
      </c>
      <c r="D524">
        <v>0.66137313842773404</v>
      </c>
      <c r="G524">
        <v>6.8029430000000002E-2</v>
      </c>
      <c r="H524">
        <f t="shared" si="16"/>
        <v>3.0338173699534832E-2</v>
      </c>
      <c r="J524">
        <f t="shared" si="17"/>
        <v>6.5553482637253193</v>
      </c>
    </row>
    <row r="525" spans="1:10" x14ac:dyDescent="0.3">
      <c r="A525">
        <v>6</v>
      </c>
      <c r="B525">
        <v>1993</v>
      </c>
      <c r="C525">
        <v>0.52800493999999998</v>
      </c>
      <c r="D525">
        <v>0.68186759948730402</v>
      </c>
      <c r="G525">
        <v>7.4980899999999961E-2</v>
      </c>
      <c r="H525">
        <f t="shared" si="16"/>
        <v>2.3673717984506074E-2</v>
      </c>
      <c r="J525">
        <f t="shared" si="17"/>
        <v>4.2108054054842476</v>
      </c>
    </row>
    <row r="526" spans="1:10" x14ac:dyDescent="0.3">
      <c r="A526">
        <v>6</v>
      </c>
      <c r="B526">
        <v>1994</v>
      </c>
      <c r="C526">
        <v>0.59584755</v>
      </c>
      <c r="D526">
        <v>0.70163345336913996</v>
      </c>
      <c r="G526">
        <v>7.0273669999999955E-2</v>
      </c>
      <c r="H526">
        <f t="shared" si="16"/>
        <v>1.1190657351625017E-2</v>
      </c>
      <c r="J526">
        <f t="shared" si="17"/>
        <v>2.2660543837600229</v>
      </c>
    </row>
    <row r="527" spans="1:10" x14ac:dyDescent="0.3">
      <c r="A527">
        <v>6</v>
      </c>
      <c r="B527">
        <v>1995</v>
      </c>
      <c r="C527">
        <v>0.73916389999999998</v>
      </c>
      <c r="D527">
        <v>0.72059822082519498</v>
      </c>
      <c r="G527">
        <v>6.6420759999999968E-2</v>
      </c>
      <c r="H527">
        <f t="shared" si="16"/>
        <v>3.4468444322178826E-4</v>
      </c>
      <c r="J527">
        <f t="shared" si="17"/>
        <v>7.8129312277989624E-2</v>
      </c>
    </row>
    <row r="528" spans="1:10" x14ac:dyDescent="0.3">
      <c r="A528">
        <v>6</v>
      </c>
      <c r="B528">
        <v>1996</v>
      </c>
      <c r="C528">
        <v>0.63898710000000003</v>
      </c>
      <c r="D528">
        <v>0.73873329162597601</v>
      </c>
      <c r="G528">
        <v>6.7018750000000016E-2</v>
      </c>
      <c r="H528">
        <f t="shared" si="16"/>
        <v>9.94930274388592E-3</v>
      </c>
      <c r="J528">
        <f t="shared" si="17"/>
        <v>2.2151339810649251</v>
      </c>
    </row>
    <row r="529" spans="1:10" x14ac:dyDescent="0.3">
      <c r="A529">
        <v>6</v>
      </c>
      <c r="B529">
        <v>1997</v>
      </c>
      <c r="C529">
        <v>0.78460629999999998</v>
      </c>
      <c r="D529">
        <v>0.75598335266113204</v>
      </c>
      <c r="G529">
        <v>6.4435360000000053E-2</v>
      </c>
      <c r="H529">
        <f t="shared" si="16"/>
        <v>8.1927311436360748E-4</v>
      </c>
      <c r="J529">
        <f t="shared" si="17"/>
        <v>0.19732412449490394</v>
      </c>
    </row>
    <row r="530" spans="1:10" x14ac:dyDescent="0.3">
      <c r="A530">
        <v>6</v>
      </c>
      <c r="B530">
        <v>1998</v>
      </c>
      <c r="C530">
        <v>0.93963945000000004</v>
      </c>
      <c r="D530">
        <v>0.77239418029785101</v>
      </c>
      <c r="G530">
        <v>6.8545859999999958E-2</v>
      </c>
      <c r="H530">
        <f t="shared" si="16"/>
        <v>2.797098023774457E-2</v>
      </c>
      <c r="J530">
        <f t="shared" si="17"/>
        <v>5.9531280910548521</v>
      </c>
    </row>
    <row r="531" spans="1:10" x14ac:dyDescent="0.3">
      <c r="A531">
        <v>6</v>
      </c>
      <c r="B531">
        <v>1999</v>
      </c>
      <c r="C531">
        <v>0.68678269999999997</v>
      </c>
      <c r="D531">
        <v>0.78796958923339799</v>
      </c>
      <c r="G531">
        <v>6.3300429999999963E-2</v>
      </c>
      <c r="H531">
        <f t="shared" si="16"/>
        <v>1.0238786552731961E-2</v>
      </c>
      <c r="J531">
        <f t="shared" si="17"/>
        <v>2.5552604261640388</v>
      </c>
    </row>
    <row r="532" spans="1:10" x14ac:dyDescent="0.3">
      <c r="A532">
        <v>6</v>
      </c>
      <c r="B532">
        <v>2000</v>
      </c>
      <c r="C532">
        <v>0.69338250000000001</v>
      </c>
      <c r="D532">
        <v>0.80280303955078103</v>
      </c>
      <c r="G532">
        <v>6.5713839999999912E-2</v>
      </c>
      <c r="H532">
        <f t="shared" si="16"/>
        <v>1.1972854475584032E-2</v>
      </c>
      <c r="J532">
        <f t="shared" si="17"/>
        <v>2.7725795259399857</v>
      </c>
    </row>
    <row r="533" spans="1:10" x14ac:dyDescent="0.3">
      <c r="A533">
        <v>6</v>
      </c>
      <c r="B533">
        <v>2001</v>
      </c>
      <c r="C533">
        <v>0.8515781</v>
      </c>
      <c r="D533">
        <v>0.81698417663574197</v>
      </c>
      <c r="G533">
        <v>6.2424050000000064E-2</v>
      </c>
      <c r="H533">
        <f t="shared" si="16"/>
        <v>1.1967395337321583E-3</v>
      </c>
      <c r="J533">
        <f t="shared" si="17"/>
        <v>0.30711127035229269</v>
      </c>
    </row>
    <row r="534" spans="1:10" x14ac:dyDescent="0.3">
      <c r="A534">
        <v>6</v>
      </c>
      <c r="B534">
        <v>2002</v>
      </c>
      <c r="C534">
        <v>0.90576429999999997</v>
      </c>
      <c r="D534">
        <v>0.83060646057128895</v>
      </c>
      <c r="G534">
        <v>6.136929999999996E-2</v>
      </c>
      <c r="H534">
        <f t="shared" si="16"/>
        <v>5.6487008275919078E-3</v>
      </c>
      <c r="J534">
        <f t="shared" si="17"/>
        <v>1.4998444990852009</v>
      </c>
    </row>
    <row r="535" spans="1:10" x14ac:dyDescent="0.3">
      <c r="A535">
        <v>6</v>
      </c>
      <c r="B535">
        <v>2003</v>
      </c>
      <c r="C535">
        <v>0.90646789999999999</v>
      </c>
      <c r="D535">
        <v>0.84390830993652299</v>
      </c>
      <c r="G535">
        <v>6.5855100000000055E-2</v>
      </c>
      <c r="H535">
        <f t="shared" si="16"/>
        <v>3.9137023089102904E-3</v>
      </c>
      <c r="J535">
        <f t="shared" si="17"/>
        <v>0.90242051846940174</v>
      </c>
    </row>
    <row r="536" spans="1:10" x14ac:dyDescent="0.3">
      <c r="A536">
        <v>6</v>
      </c>
      <c r="B536">
        <v>2004</v>
      </c>
      <c r="C536">
        <v>0.82966846000000005</v>
      </c>
      <c r="D536">
        <v>0.85709381103515603</v>
      </c>
      <c r="G536">
        <v>6.6064800000000035E-2</v>
      </c>
      <c r="H536">
        <f t="shared" si="16"/>
        <v>7.52149879401531E-4</v>
      </c>
      <c r="J536">
        <f t="shared" si="17"/>
        <v>0.17233129082789744</v>
      </c>
    </row>
    <row r="537" spans="1:10" x14ac:dyDescent="0.3">
      <c r="A537">
        <v>6</v>
      </c>
      <c r="B537">
        <v>2005</v>
      </c>
      <c r="C537">
        <v>0.96916026</v>
      </c>
      <c r="D537">
        <v>0.87043762207031194</v>
      </c>
      <c r="G537">
        <v>6.2314439999999971E-2</v>
      </c>
      <c r="H537">
        <f t="shared" si="16"/>
        <v>9.7461592397962826E-3</v>
      </c>
      <c r="J537">
        <f t="shared" si="17"/>
        <v>2.5098982161447183</v>
      </c>
    </row>
    <row r="538" spans="1:10" x14ac:dyDescent="0.3">
      <c r="A538">
        <v>6</v>
      </c>
      <c r="B538">
        <v>2006</v>
      </c>
      <c r="C538">
        <v>0.93485045</v>
      </c>
      <c r="D538">
        <v>0.88427162170410101</v>
      </c>
      <c r="G538">
        <v>6.1159370000000046E-2</v>
      </c>
      <c r="H538">
        <f t="shared" si="16"/>
        <v>2.5582178717860325E-3</v>
      </c>
      <c r="J538">
        <f t="shared" si="17"/>
        <v>0.68392979255183484</v>
      </c>
    </row>
    <row r="539" spans="1:10" x14ac:dyDescent="0.3">
      <c r="A539">
        <v>6</v>
      </c>
      <c r="B539">
        <v>2007</v>
      </c>
      <c r="C539">
        <v>0.95399909999999999</v>
      </c>
      <c r="D539">
        <v>0.89893913269042902</v>
      </c>
      <c r="G539">
        <v>6.0696299999999925E-2</v>
      </c>
      <c r="H539">
        <f t="shared" si="16"/>
        <v>3.0316000001310234E-3</v>
      </c>
      <c r="J539">
        <f t="shared" si="17"/>
        <v>0.82290075951588382</v>
      </c>
    </row>
    <row r="540" spans="1:10" x14ac:dyDescent="0.3">
      <c r="A540">
        <v>6</v>
      </c>
      <c r="B540">
        <v>2008</v>
      </c>
      <c r="C540">
        <v>0.82794760000000001</v>
      </c>
      <c r="D540">
        <v>0.91494941711425704</v>
      </c>
      <c r="G540">
        <v>6.598499999999996E-2</v>
      </c>
      <c r="H540">
        <f t="shared" si="16"/>
        <v>7.5693161811826275E-3</v>
      </c>
      <c r="J540">
        <f t="shared" si="17"/>
        <v>1.738466013024236</v>
      </c>
    </row>
    <row r="541" spans="1:10" x14ac:dyDescent="0.3">
      <c r="A541">
        <v>6</v>
      </c>
      <c r="B541">
        <v>2009</v>
      </c>
      <c r="C541">
        <v>0.95907940000000003</v>
      </c>
      <c r="D541">
        <v>0.9327392578125</v>
      </c>
      <c r="G541">
        <v>6.3052039999999976E-2</v>
      </c>
      <c r="H541">
        <f t="shared" si="16"/>
        <v>6.9380309045771868E-4</v>
      </c>
      <c r="J541">
        <f t="shared" si="17"/>
        <v>0.17451708297895696</v>
      </c>
    </row>
    <row r="542" spans="1:10" x14ac:dyDescent="0.3">
      <c r="A542">
        <v>6</v>
      </c>
      <c r="B542">
        <v>2010</v>
      </c>
      <c r="C542">
        <v>1.0426692</v>
      </c>
      <c r="D542">
        <v>0.95295333862304599</v>
      </c>
      <c r="G542">
        <v>6.2591000000000063E-2</v>
      </c>
      <c r="H542">
        <f t="shared" si="16"/>
        <v>8.0489357826088216E-3</v>
      </c>
      <c r="J542">
        <f t="shared" si="17"/>
        <v>2.0545403832576858</v>
      </c>
    </row>
    <row r="543" spans="1:10" x14ac:dyDescent="0.3">
      <c r="A543">
        <v>6</v>
      </c>
      <c r="B543">
        <v>2011</v>
      </c>
      <c r="C543">
        <v>0.89999549999999995</v>
      </c>
      <c r="D543">
        <v>0.97615814208984297</v>
      </c>
      <c r="G543">
        <v>6.339311000000003E-2</v>
      </c>
      <c r="H543">
        <f t="shared" si="16"/>
        <v>5.8007480501055279E-3</v>
      </c>
      <c r="J543">
        <f t="shared" si="17"/>
        <v>1.4434438220014609</v>
      </c>
    </row>
    <row r="544" spans="1:10" x14ac:dyDescent="0.3">
      <c r="A544">
        <v>6</v>
      </c>
      <c r="B544">
        <v>2012</v>
      </c>
      <c r="C544">
        <v>0.93990479999999998</v>
      </c>
      <c r="D544">
        <v>1.0031509399414</v>
      </c>
      <c r="G544">
        <v>6.5503599999999995E-2</v>
      </c>
      <c r="H544">
        <f t="shared" si="16"/>
        <v>4.0000742174871587E-3</v>
      </c>
      <c r="J544">
        <f t="shared" si="17"/>
        <v>0.93226141854671973</v>
      </c>
    </row>
    <row r="545" spans="1:11" x14ac:dyDescent="0.3">
      <c r="A545">
        <v>6</v>
      </c>
      <c r="B545">
        <v>2013</v>
      </c>
      <c r="C545">
        <v>0.98587309999999995</v>
      </c>
      <c r="D545">
        <v>1.0347251892089799</v>
      </c>
      <c r="G545">
        <v>7.0183000000000106E-2</v>
      </c>
      <c r="H545">
        <f t="shared" si="16"/>
        <v>2.3865266200821388E-3</v>
      </c>
      <c r="J545">
        <f t="shared" si="17"/>
        <v>0.48450964433688593</v>
      </c>
    </row>
    <row r="546" spans="1:11" x14ac:dyDescent="0.3">
      <c r="A546">
        <v>6</v>
      </c>
      <c r="B546">
        <v>2014</v>
      </c>
      <c r="C546">
        <v>1.0351694</v>
      </c>
      <c r="D546">
        <v>1.07173347473144</v>
      </c>
      <c r="G546">
        <v>6.7933499999999869E-2</v>
      </c>
      <c r="H546">
        <f t="shared" si="16"/>
        <v>1.3369315609663265E-3</v>
      </c>
      <c r="J546">
        <f t="shared" si="17"/>
        <v>0.28969513032454519</v>
      </c>
    </row>
    <row r="547" spans="1:11" x14ac:dyDescent="0.3">
      <c r="A547">
        <v>6</v>
      </c>
      <c r="B547">
        <v>2015</v>
      </c>
      <c r="C547">
        <v>1.1874121</v>
      </c>
      <c r="D547">
        <v>1.1152210235595701</v>
      </c>
      <c r="G547">
        <v>6.7654600000000009E-2</v>
      </c>
      <c r="H547">
        <f t="shared" si="16"/>
        <v>5.21155151762799E-3</v>
      </c>
      <c r="J547">
        <f t="shared" si="17"/>
        <v>1.1386031314645968</v>
      </c>
    </row>
    <row r="548" spans="1:11" x14ac:dyDescent="0.3">
      <c r="A548">
        <v>7</v>
      </c>
      <c r="B548">
        <v>1925</v>
      </c>
      <c r="C548">
        <v>8.0155770000000001E-2</v>
      </c>
      <c r="D548">
        <v>0.103260993957519</v>
      </c>
      <c r="G548">
        <v>0.22561889600000001</v>
      </c>
      <c r="H548">
        <f t="shared" si="16"/>
        <v>5.3385137412711005E-4</v>
      </c>
      <c r="J548">
        <f t="shared" si="17"/>
        <v>1.0487438457867636E-2</v>
      </c>
      <c r="K548">
        <f>SUM(J548:J638)</f>
        <v>102.87922047713522</v>
      </c>
    </row>
    <row r="549" spans="1:11" x14ac:dyDescent="0.3">
      <c r="A549">
        <v>7</v>
      </c>
      <c r="B549">
        <v>1926</v>
      </c>
      <c r="C549">
        <v>0.23974274000000001</v>
      </c>
      <c r="D549">
        <v>0.110598564147949</v>
      </c>
      <c r="G549">
        <v>0.21658418000000002</v>
      </c>
      <c r="H549">
        <f t="shared" si="16"/>
        <v>1.6678218156505477E-2</v>
      </c>
      <c r="J549">
        <f t="shared" si="17"/>
        <v>0.355546319943639</v>
      </c>
    </row>
    <row r="550" spans="1:11" x14ac:dyDescent="0.3">
      <c r="A550">
        <v>7</v>
      </c>
      <c r="B550">
        <v>1927</v>
      </c>
      <c r="C550">
        <v>0.13318415</v>
      </c>
      <c r="D550">
        <v>0.121235847473144</v>
      </c>
      <c r="G550">
        <v>0.20616828800000001</v>
      </c>
      <c r="H550">
        <f t="shared" si="16"/>
        <v>1.427619332732734E-4</v>
      </c>
      <c r="J550">
        <f t="shared" si="17"/>
        <v>3.3586804881780134E-3</v>
      </c>
    </row>
    <row r="551" spans="1:11" x14ac:dyDescent="0.3">
      <c r="A551">
        <v>7</v>
      </c>
      <c r="B551">
        <v>1928</v>
      </c>
      <c r="C551">
        <v>0.15583193000000001</v>
      </c>
      <c r="D551">
        <v>0.13442420959472601</v>
      </c>
      <c r="G551">
        <v>0.22194212700000002</v>
      </c>
      <c r="H551">
        <f t="shared" si="16"/>
        <v>4.5829049295038481E-4</v>
      </c>
      <c r="J551">
        <f t="shared" si="17"/>
        <v>9.3038213045126567E-3</v>
      </c>
    </row>
    <row r="552" spans="1:11" x14ac:dyDescent="0.3">
      <c r="A552">
        <v>7</v>
      </c>
      <c r="B552">
        <v>1929</v>
      </c>
      <c r="C552">
        <v>-3.0145284000000001E-2</v>
      </c>
      <c r="D552">
        <v>0.149467468261718</v>
      </c>
      <c r="G552">
        <v>0.22083399999999997</v>
      </c>
      <c r="H552">
        <f t="shared" si="16"/>
        <v>3.226074077502928E-2</v>
      </c>
      <c r="J552">
        <f t="shared" si="17"/>
        <v>0.66151920585938795</v>
      </c>
    </row>
    <row r="553" spans="1:11" x14ac:dyDescent="0.3">
      <c r="A553">
        <v>7</v>
      </c>
      <c r="B553">
        <v>1930</v>
      </c>
      <c r="C553">
        <v>0.18549231999999999</v>
      </c>
      <c r="D553">
        <v>0.165756225585937</v>
      </c>
      <c r="G553">
        <v>0.22721205999999999</v>
      </c>
      <c r="H553">
        <f t="shared" si="16"/>
        <v>3.8951342272080825E-4</v>
      </c>
      <c r="J553">
        <f t="shared" si="17"/>
        <v>7.5450073944443299E-3</v>
      </c>
    </row>
    <row r="554" spans="1:11" x14ac:dyDescent="0.3">
      <c r="A554">
        <v>7</v>
      </c>
      <c r="B554">
        <v>1931</v>
      </c>
      <c r="C554">
        <v>0.25890007999999998</v>
      </c>
      <c r="D554">
        <v>0.18274784088134699</v>
      </c>
      <c r="G554">
        <v>0.21858786000000002</v>
      </c>
      <c r="H554">
        <f t="shared" si="16"/>
        <v>5.7991635227845019E-3</v>
      </c>
      <c r="J554">
        <f t="shared" si="17"/>
        <v>0.12137053837858278</v>
      </c>
    </row>
    <row r="555" spans="1:11" x14ac:dyDescent="0.3">
      <c r="A555">
        <v>7</v>
      </c>
      <c r="B555">
        <v>1932</v>
      </c>
      <c r="C555">
        <v>0.21683604000000001</v>
      </c>
      <c r="D555">
        <v>0.19996452331542899</v>
      </c>
      <c r="G555">
        <v>0.21298692999999999</v>
      </c>
      <c r="H555">
        <f t="shared" si="16"/>
        <v>2.8464807523775811E-4</v>
      </c>
      <c r="J555">
        <f t="shared" si="17"/>
        <v>6.274835489439811E-3</v>
      </c>
    </row>
    <row r="556" spans="1:11" x14ac:dyDescent="0.3">
      <c r="A556">
        <v>7</v>
      </c>
      <c r="B556">
        <v>1933</v>
      </c>
      <c r="C556">
        <v>3.9953324999999998E-2</v>
      </c>
      <c r="D556">
        <v>0.217007637023925</v>
      </c>
      <c r="G556">
        <v>0.20951196</v>
      </c>
      <c r="H556">
        <f t="shared" si="16"/>
        <v>3.1348229406265402E-2</v>
      </c>
      <c r="J556">
        <f t="shared" si="17"/>
        <v>0.71415976163605699</v>
      </c>
    </row>
    <row r="557" spans="1:11" x14ac:dyDescent="0.3">
      <c r="A557">
        <v>7</v>
      </c>
      <c r="B557">
        <v>1934</v>
      </c>
      <c r="C557">
        <v>0.18796089999999999</v>
      </c>
      <c r="D557">
        <v>0.23352622985839799</v>
      </c>
      <c r="G557">
        <v>0.19933419999999999</v>
      </c>
      <c r="H557">
        <f t="shared" si="16"/>
        <v>2.0761992851046169E-3</v>
      </c>
      <c r="J557">
        <f t="shared" si="17"/>
        <v>5.2252298860862273E-2</v>
      </c>
    </row>
    <row r="558" spans="1:11" x14ac:dyDescent="0.3">
      <c r="A558">
        <v>7</v>
      </c>
      <c r="B558">
        <v>1935</v>
      </c>
      <c r="C558">
        <v>0.15623851</v>
      </c>
      <c r="D558">
        <v>0.249218940734863</v>
      </c>
      <c r="G558">
        <v>0.19487621700000002</v>
      </c>
      <c r="H558">
        <f t="shared" si="16"/>
        <v>8.6453604996406565E-3</v>
      </c>
      <c r="J558">
        <f t="shared" si="17"/>
        <v>0.2276488321671421</v>
      </c>
    </row>
    <row r="559" spans="1:11" x14ac:dyDescent="0.3">
      <c r="A559">
        <v>7</v>
      </c>
      <c r="B559">
        <v>1936</v>
      </c>
      <c r="C559">
        <v>0.1927768</v>
      </c>
      <c r="D559">
        <v>0.26384353637695301</v>
      </c>
      <c r="G559">
        <v>0.18799661000000001</v>
      </c>
      <c r="H559">
        <f t="shared" si="16"/>
        <v>5.050481019271337E-3</v>
      </c>
      <c r="J559">
        <f t="shared" si="17"/>
        <v>0.14290015742094184</v>
      </c>
    </row>
    <row r="560" spans="1:11" x14ac:dyDescent="0.3">
      <c r="A560">
        <v>7</v>
      </c>
      <c r="B560">
        <v>1937</v>
      </c>
      <c r="C560">
        <v>0.34309879999999998</v>
      </c>
      <c r="D560">
        <v>0.27720069885253901</v>
      </c>
      <c r="G560">
        <v>0.20111965000000001</v>
      </c>
      <c r="H560">
        <f t="shared" si="16"/>
        <v>4.3425597348409973E-3</v>
      </c>
      <c r="J560">
        <f t="shared" si="17"/>
        <v>0.1073585882759643</v>
      </c>
    </row>
    <row r="561" spans="1:10" x14ac:dyDescent="0.3">
      <c r="A561">
        <v>7</v>
      </c>
      <c r="B561">
        <v>1938</v>
      </c>
      <c r="C561">
        <v>0.35009699999999999</v>
      </c>
      <c r="D561">
        <v>0.28915309906005798</v>
      </c>
      <c r="G561">
        <v>0.19620601999999998</v>
      </c>
      <c r="H561">
        <f t="shared" si="16"/>
        <v>3.7141590617774645E-3</v>
      </c>
      <c r="J561">
        <f t="shared" si="17"/>
        <v>9.6479677308105832E-2</v>
      </c>
    </row>
    <row r="562" spans="1:10" x14ac:dyDescent="0.3">
      <c r="A562">
        <v>7</v>
      </c>
      <c r="B562">
        <v>1939</v>
      </c>
      <c r="C562">
        <v>0.32150054</v>
      </c>
      <c r="D562">
        <v>0.29957675933837802</v>
      </c>
      <c r="G562">
        <v>0.21181498999999998</v>
      </c>
      <c r="H562">
        <f t="shared" si="16"/>
        <v>4.8065215849891005E-4</v>
      </c>
      <c r="J562">
        <f t="shared" si="17"/>
        <v>1.0713158093317568E-2</v>
      </c>
    </row>
    <row r="563" spans="1:10" x14ac:dyDescent="0.3">
      <c r="A563">
        <v>7</v>
      </c>
      <c r="B563">
        <v>1940</v>
      </c>
      <c r="C563">
        <v>0.43823355000000003</v>
      </c>
      <c r="D563">
        <v>0.30840396881103499</v>
      </c>
      <c r="G563">
        <v>0.23577104999999998</v>
      </c>
      <c r="H563">
        <f t="shared" si="16"/>
        <v>1.6855720151702065E-2</v>
      </c>
      <c r="J563">
        <f t="shared" si="17"/>
        <v>0.30322594417723703</v>
      </c>
    </row>
    <row r="564" spans="1:10" x14ac:dyDescent="0.3">
      <c r="A564">
        <v>7</v>
      </c>
      <c r="B564">
        <v>1941</v>
      </c>
      <c r="C564">
        <v>0.40042704000000001</v>
      </c>
      <c r="D564">
        <v>0.31560325622558499</v>
      </c>
      <c r="G564">
        <v>0.40076646999999999</v>
      </c>
      <c r="H564">
        <f t="shared" si="16"/>
        <v>7.1950742938087127E-3</v>
      </c>
      <c r="J564">
        <f t="shared" si="17"/>
        <v>4.4797370649198212E-2</v>
      </c>
    </row>
    <row r="565" spans="1:10" x14ac:dyDescent="0.3">
      <c r="A565">
        <v>7</v>
      </c>
      <c r="B565">
        <v>1942</v>
      </c>
      <c r="C565">
        <v>0.36370382000000001</v>
      </c>
      <c r="D565">
        <v>0.32115650177001898</v>
      </c>
      <c r="G565">
        <v>0.39323698000000007</v>
      </c>
      <c r="H565">
        <f t="shared" si="16"/>
        <v>1.8102742885632765E-3</v>
      </c>
      <c r="J565">
        <f t="shared" si="17"/>
        <v>1.170673207133056E-2</v>
      </c>
    </row>
    <row r="566" spans="1:10" x14ac:dyDescent="0.3">
      <c r="A566">
        <v>7</v>
      </c>
      <c r="B566">
        <v>1943</v>
      </c>
      <c r="C566">
        <v>0.36871934000000001</v>
      </c>
      <c r="D566">
        <v>0.32509613037109297</v>
      </c>
      <c r="G566">
        <v>0.41200937000000004</v>
      </c>
      <c r="H566">
        <f t="shared" si="16"/>
        <v>1.9029844183275674E-3</v>
      </c>
      <c r="J566">
        <f t="shared" si="17"/>
        <v>1.1210398383463676E-2</v>
      </c>
    </row>
    <row r="567" spans="1:10" x14ac:dyDescent="0.3">
      <c r="A567">
        <v>7</v>
      </c>
      <c r="B567">
        <v>1944</v>
      </c>
      <c r="C567">
        <v>0.50640289999999999</v>
      </c>
      <c r="D567">
        <v>0.32746028900146401</v>
      </c>
      <c r="G567">
        <v>0.39719992000000004</v>
      </c>
      <c r="H567">
        <f t="shared" si="16"/>
        <v>3.2020458030973371E-2</v>
      </c>
      <c r="J567">
        <f t="shared" si="17"/>
        <v>0.20295943032147604</v>
      </c>
    </row>
    <row r="568" spans="1:10" x14ac:dyDescent="0.3">
      <c r="A568">
        <v>7</v>
      </c>
      <c r="B568">
        <v>1945</v>
      </c>
      <c r="C568">
        <v>0.40538610000000003</v>
      </c>
      <c r="D568">
        <v>0.328326225280761</v>
      </c>
      <c r="G568">
        <v>0.40074251999999999</v>
      </c>
      <c r="H568">
        <f t="shared" si="16"/>
        <v>5.9382242917448147E-3</v>
      </c>
      <c r="J568">
        <f t="shared" si="17"/>
        <v>3.6976495470874469E-2</v>
      </c>
    </row>
    <row r="569" spans="1:10" x14ac:dyDescent="0.3">
      <c r="A569">
        <v>7</v>
      </c>
      <c r="B569">
        <v>1946</v>
      </c>
      <c r="C569">
        <v>0.24348313999999999</v>
      </c>
      <c r="D569">
        <v>0.32778358459472601</v>
      </c>
      <c r="G569">
        <v>0.29427287000000002</v>
      </c>
      <c r="H569">
        <f t="shared" si="16"/>
        <v>7.1065649588684717E-3</v>
      </c>
      <c r="J569">
        <f t="shared" si="17"/>
        <v>8.2065246885876866E-2</v>
      </c>
    </row>
    <row r="570" spans="1:10" x14ac:dyDescent="0.3">
      <c r="A570">
        <v>7</v>
      </c>
      <c r="B570">
        <v>1947</v>
      </c>
      <c r="C570">
        <v>0.27109214999999998</v>
      </c>
      <c r="D570">
        <v>0.32593441009521401</v>
      </c>
      <c r="G570">
        <v>0.28116972000000001</v>
      </c>
      <c r="H570">
        <f t="shared" si="16"/>
        <v>3.0076734923511058E-3</v>
      </c>
      <c r="J570">
        <f t="shared" si="17"/>
        <v>3.8044649856744224E-2</v>
      </c>
    </row>
    <row r="571" spans="1:10" x14ac:dyDescent="0.3">
      <c r="A571">
        <v>7</v>
      </c>
      <c r="B571">
        <v>1948</v>
      </c>
      <c r="C571">
        <v>0.23763648000000001</v>
      </c>
      <c r="D571">
        <v>0.32290554046630798</v>
      </c>
      <c r="G571">
        <v>0.26894422000000001</v>
      </c>
      <c r="H571">
        <f t="shared" si="16"/>
        <v>7.2708126728068855E-3</v>
      </c>
      <c r="J571">
        <f t="shared" si="17"/>
        <v>0.10052139924887044</v>
      </c>
    </row>
    <row r="572" spans="1:10" x14ac:dyDescent="0.3">
      <c r="A572">
        <v>7</v>
      </c>
      <c r="B572">
        <v>1949</v>
      </c>
      <c r="C572">
        <v>0.21849552</v>
      </c>
      <c r="D572">
        <v>0.31882858276367099</v>
      </c>
      <c r="G572">
        <v>0.22055050999999998</v>
      </c>
      <c r="H572">
        <f t="shared" si="16"/>
        <v>1.0066723483538742E-2</v>
      </c>
      <c r="J572">
        <f t="shared" si="17"/>
        <v>0.2069531335836956</v>
      </c>
    </row>
    <row r="573" spans="1:10" x14ac:dyDescent="0.3">
      <c r="A573">
        <v>7</v>
      </c>
      <c r="B573">
        <v>1950</v>
      </c>
      <c r="C573">
        <v>0.13567593999999999</v>
      </c>
      <c r="D573">
        <v>0.31384754180908198</v>
      </c>
      <c r="G573">
        <v>0.21207035199999999</v>
      </c>
      <c r="H573">
        <f t="shared" si="16"/>
        <v>3.1745119691214067E-2</v>
      </c>
      <c r="J573">
        <f t="shared" si="17"/>
        <v>0.7058575337800872</v>
      </c>
    </row>
    <row r="574" spans="1:10" x14ac:dyDescent="0.3">
      <c r="A574">
        <v>7</v>
      </c>
      <c r="B574">
        <v>1951</v>
      </c>
      <c r="C574">
        <v>0.30114380000000002</v>
      </c>
      <c r="D574">
        <v>0.30811595916748002</v>
      </c>
      <c r="G574">
        <v>0.17839253999999999</v>
      </c>
      <c r="H574">
        <f t="shared" si="16"/>
        <v>4.861100345667551E-5</v>
      </c>
      <c r="J574">
        <f t="shared" si="17"/>
        <v>1.5274999610728928E-3</v>
      </c>
    </row>
    <row r="575" spans="1:10" x14ac:dyDescent="0.3">
      <c r="A575">
        <v>7</v>
      </c>
      <c r="B575">
        <v>1952</v>
      </c>
      <c r="C575">
        <v>0.3776523</v>
      </c>
      <c r="D575">
        <v>0.30178165435790999</v>
      </c>
      <c r="G575">
        <v>0.19658106999999997</v>
      </c>
      <c r="H575">
        <f t="shared" si="16"/>
        <v>5.7563548701475911E-3</v>
      </c>
      <c r="J575">
        <f t="shared" si="17"/>
        <v>0.14895811587263469</v>
      </c>
    </row>
    <row r="576" spans="1:10" x14ac:dyDescent="0.3">
      <c r="A576">
        <v>7</v>
      </c>
      <c r="B576">
        <v>1953</v>
      </c>
      <c r="C576">
        <v>0.4399285</v>
      </c>
      <c r="D576">
        <v>0.29502296447753901</v>
      </c>
      <c r="G576">
        <v>0.19632071000000001</v>
      </c>
      <c r="H576">
        <f t="shared" si="16"/>
        <v>2.0997614225051205E-2</v>
      </c>
      <c r="J576">
        <f t="shared" si="17"/>
        <v>0.54480077964565587</v>
      </c>
    </row>
    <row r="577" spans="1:10" x14ac:dyDescent="0.3">
      <c r="A577">
        <v>7</v>
      </c>
      <c r="B577">
        <v>1954</v>
      </c>
      <c r="C577">
        <v>0.24554751999999999</v>
      </c>
      <c r="D577">
        <v>0.28799247741699202</v>
      </c>
      <c r="G577">
        <v>0.18350500999999997</v>
      </c>
      <c r="H577">
        <f t="shared" si="16"/>
        <v>1.8015744101302668E-3</v>
      </c>
      <c r="J577">
        <f t="shared" si="17"/>
        <v>5.3500316710646832E-2</v>
      </c>
    </row>
    <row r="578" spans="1:10" x14ac:dyDescent="0.3">
      <c r="A578">
        <v>7</v>
      </c>
      <c r="B578">
        <v>1955</v>
      </c>
      <c r="C578">
        <v>0.16498779999999999</v>
      </c>
      <c r="D578">
        <v>0.28085899353027299</v>
      </c>
      <c r="G578">
        <v>0.17424004999999998</v>
      </c>
      <c r="H578">
        <f t="shared" ref="H578:H641" si="18">(C578-D578)^2</f>
        <v>1.342613349012998E-2</v>
      </c>
      <c r="J578">
        <f t="shared" si="17"/>
        <v>0.44223690992963482</v>
      </c>
    </row>
    <row r="579" spans="1:10" x14ac:dyDescent="0.3">
      <c r="A579">
        <v>7</v>
      </c>
      <c r="B579">
        <v>1956</v>
      </c>
      <c r="C579">
        <v>9.9132129999999999E-2</v>
      </c>
      <c r="D579">
        <v>0.27377510070800698</v>
      </c>
      <c r="G579">
        <v>0.15192007599999999</v>
      </c>
      <c r="H579">
        <f t="shared" si="18"/>
        <v>3.050016721771779E-2</v>
      </c>
      <c r="J579">
        <f t="shared" ref="J579:J642" si="19">H579/(G579^2)</f>
        <v>1.3215143469849011</v>
      </c>
    </row>
    <row r="580" spans="1:10" x14ac:dyDescent="0.3">
      <c r="A580">
        <v>7</v>
      </c>
      <c r="B580">
        <v>1957</v>
      </c>
      <c r="C580">
        <v>0.32696282999999998</v>
      </c>
      <c r="D580">
        <v>0.26690292358398399</v>
      </c>
      <c r="G580">
        <v>0.13046738999999996</v>
      </c>
      <c r="H580">
        <f t="shared" si="18"/>
        <v>3.6071923587005996E-3</v>
      </c>
      <c r="J580">
        <f t="shared" si="19"/>
        <v>0.21191678346426618</v>
      </c>
    </row>
    <row r="581" spans="1:10" x14ac:dyDescent="0.3">
      <c r="A581">
        <v>7</v>
      </c>
      <c r="B581">
        <v>1958</v>
      </c>
      <c r="C581">
        <v>0.3446652</v>
      </c>
      <c r="D581">
        <v>0.26040172576904203</v>
      </c>
      <c r="G581">
        <v>0.13088402999999998</v>
      </c>
      <c r="H581">
        <f t="shared" si="18"/>
        <v>7.1003330894713196E-3</v>
      </c>
      <c r="J581">
        <f t="shared" si="19"/>
        <v>0.41448174269488358</v>
      </c>
    </row>
    <row r="582" spans="1:10" x14ac:dyDescent="0.3">
      <c r="A582">
        <v>7</v>
      </c>
      <c r="B582">
        <v>1959</v>
      </c>
      <c r="C582">
        <v>0.31429294000000002</v>
      </c>
      <c r="D582">
        <v>0.25441360473632801</v>
      </c>
      <c r="G582">
        <v>0.12471783000000003</v>
      </c>
      <c r="H582">
        <f t="shared" si="18"/>
        <v>3.5855347916192337E-3</v>
      </c>
      <c r="J582">
        <f t="shared" si="19"/>
        <v>0.23051375711013325</v>
      </c>
    </row>
    <row r="583" spans="1:10" x14ac:dyDescent="0.3">
      <c r="A583">
        <v>7</v>
      </c>
      <c r="B583">
        <v>1960</v>
      </c>
      <c r="C583">
        <v>0.24683817</v>
      </c>
      <c r="D583">
        <v>0.24908351898193301</v>
      </c>
      <c r="G583">
        <v>0.11735596999999998</v>
      </c>
      <c r="H583">
        <f t="shared" si="18"/>
        <v>5.0415920506676279E-6</v>
      </c>
      <c r="J583">
        <f t="shared" si="19"/>
        <v>3.660642572758929E-4</v>
      </c>
    </row>
    <row r="584" spans="1:10" x14ac:dyDescent="0.3">
      <c r="A584">
        <v>7</v>
      </c>
      <c r="B584">
        <v>1961</v>
      </c>
      <c r="C584">
        <v>0.34229797000000001</v>
      </c>
      <c r="D584">
        <v>0.24453544616699199</v>
      </c>
      <c r="G584">
        <v>0.10156016000000001</v>
      </c>
      <c r="H584">
        <f t="shared" si="18"/>
        <v>9.5575110661994603E-3</v>
      </c>
      <c r="J584">
        <f t="shared" si="19"/>
        <v>0.92661229134458323</v>
      </c>
    </row>
    <row r="585" spans="1:10" x14ac:dyDescent="0.3">
      <c r="A585">
        <v>7</v>
      </c>
      <c r="B585">
        <v>1962</v>
      </c>
      <c r="C585">
        <v>0.29825502999999998</v>
      </c>
      <c r="D585">
        <v>0.24090003967285101</v>
      </c>
      <c r="G585">
        <v>0.10653303000000003</v>
      </c>
      <c r="H585">
        <f t="shared" si="18"/>
        <v>3.2895949154273518E-3</v>
      </c>
      <c r="J585">
        <f t="shared" si="19"/>
        <v>0.28985037261505764</v>
      </c>
    </row>
    <row r="586" spans="1:10" x14ac:dyDescent="0.3">
      <c r="A586">
        <v>7</v>
      </c>
      <c r="B586">
        <v>1963</v>
      </c>
      <c r="C586">
        <v>0.32548714000000001</v>
      </c>
      <c r="D586">
        <v>0.238286018371582</v>
      </c>
      <c r="G586">
        <v>0.10753833000000002</v>
      </c>
      <c r="H586">
        <f t="shared" si="18"/>
        <v>7.60403561325415E-3</v>
      </c>
      <c r="J586">
        <f t="shared" si="19"/>
        <v>0.65753301897079486</v>
      </c>
    </row>
    <row r="587" spans="1:10" x14ac:dyDescent="0.3">
      <c r="A587">
        <v>7</v>
      </c>
      <c r="B587">
        <v>1964</v>
      </c>
      <c r="C587">
        <v>5.6436214999999998E-2</v>
      </c>
      <c r="D587">
        <v>0.236796379089355</v>
      </c>
      <c r="G587">
        <v>8.726594E-2</v>
      </c>
      <c r="H587">
        <f t="shared" si="18"/>
        <v>3.2529788790339069E-2</v>
      </c>
      <c r="J587">
        <f t="shared" si="19"/>
        <v>4.2716110495920372</v>
      </c>
    </row>
    <row r="588" spans="1:10" x14ac:dyDescent="0.3">
      <c r="A588">
        <v>7</v>
      </c>
      <c r="B588">
        <v>1965</v>
      </c>
      <c r="C588">
        <v>0.15787726999999999</v>
      </c>
      <c r="D588">
        <v>0.23651695251464799</v>
      </c>
      <c r="G588">
        <v>9.838044E-2</v>
      </c>
      <c r="H588">
        <f t="shared" si="18"/>
        <v>6.1841996660046356E-3</v>
      </c>
      <c r="J588">
        <f t="shared" si="19"/>
        <v>0.63894868668338389</v>
      </c>
    </row>
    <row r="589" spans="1:10" x14ac:dyDescent="0.3">
      <c r="A589">
        <v>7</v>
      </c>
      <c r="B589">
        <v>1966</v>
      </c>
      <c r="C589">
        <v>0.21340013999999999</v>
      </c>
      <c r="D589">
        <v>0.23753261566162101</v>
      </c>
      <c r="G589">
        <v>9.9023140000000037E-2</v>
      </c>
      <c r="H589">
        <f t="shared" si="18"/>
        <v>5.8237638155873102E-4</v>
      </c>
      <c r="J589">
        <f t="shared" si="19"/>
        <v>5.9392330448757621E-2</v>
      </c>
    </row>
    <row r="590" spans="1:10" x14ac:dyDescent="0.3">
      <c r="A590">
        <v>7</v>
      </c>
      <c r="B590">
        <v>1967</v>
      </c>
      <c r="C590">
        <v>0.24475846000000001</v>
      </c>
      <c r="D590">
        <v>0.23989295959472601</v>
      </c>
      <c r="G590">
        <v>8.6234999999999978E-2</v>
      </c>
      <c r="H590">
        <f t="shared" si="18"/>
        <v>2.3673094193721492E-5</v>
      </c>
      <c r="J590">
        <f t="shared" si="19"/>
        <v>3.1833756554633724E-3</v>
      </c>
    </row>
    <row r="591" spans="1:10" x14ac:dyDescent="0.3">
      <c r="A591">
        <v>7</v>
      </c>
      <c r="B591">
        <v>1968</v>
      </c>
      <c r="C591">
        <v>0.19365019</v>
      </c>
      <c r="D591">
        <v>0.24365806579589799</v>
      </c>
      <c r="G591">
        <v>8.9255870000000015E-2</v>
      </c>
      <c r="H591">
        <f t="shared" si="18"/>
        <v>2.5007876416179606E-3</v>
      </c>
      <c r="J591">
        <f t="shared" si="19"/>
        <v>0.31390861837074979</v>
      </c>
    </row>
    <row r="592" spans="1:10" x14ac:dyDescent="0.3">
      <c r="A592">
        <v>7</v>
      </c>
      <c r="B592">
        <v>1969</v>
      </c>
      <c r="C592">
        <v>0.33091152000000001</v>
      </c>
      <c r="D592">
        <v>0.24886131286620999</v>
      </c>
      <c r="G592">
        <v>8.1010250000000006E-2</v>
      </c>
      <c r="H592">
        <f t="shared" si="18"/>
        <v>6.7322364906978469E-3</v>
      </c>
      <c r="J592">
        <f t="shared" si="19"/>
        <v>1.0258395025798734</v>
      </c>
    </row>
    <row r="593" spans="1:10" x14ac:dyDescent="0.3">
      <c r="A593">
        <v>7</v>
      </c>
      <c r="B593">
        <v>1970</v>
      </c>
      <c r="C593">
        <v>0.27723365999999999</v>
      </c>
      <c r="D593">
        <v>0.25552463531494102</v>
      </c>
      <c r="G593">
        <v>8.1977119999999987E-2</v>
      </c>
      <c r="H593">
        <f t="shared" si="18"/>
        <v>4.7128175277649992E-4</v>
      </c>
      <c r="J593">
        <f t="shared" si="19"/>
        <v>7.0128623007025645E-2</v>
      </c>
    </row>
    <row r="594" spans="1:10" x14ac:dyDescent="0.3">
      <c r="A594">
        <v>7</v>
      </c>
      <c r="B594">
        <v>1971</v>
      </c>
      <c r="C594">
        <v>0.15640870000000001</v>
      </c>
      <c r="D594">
        <v>0.26365470886230402</v>
      </c>
      <c r="G594">
        <v>7.7166373999999996E-2</v>
      </c>
      <c r="H594">
        <f t="shared" si="18"/>
        <v>1.150170641689339E-2</v>
      </c>
      <c r="J594">
        <f t="shared" si="19"/>
        <v>1.9315506057856218</v>
      </c>
    </row>
    <row r="595" spans="1:10" x14ac:dyDescent="0.3">
      <c r="A595">
        <v>7</v>
      </c>
      <c r="B595">
        <v>1972</v>
      </c>
      <c r="C595">
        <v>0.26850644000000001</v>
      </c>
      <c r="D595">
        <v>0.27325248718261702</v>
      </c>
      <c r="G595">
        <v>7.5784360000000023E-2</v>
      </c>
      <c r="H595">
        <f t="shared" si="18"/>
        <v>2.2524963859626841E-5</v>
      </c>
      <c r="J595">
        <f t="shared" si="19"/>
        <v>3.9219759677635293E-3</v>
      </c>
    </row>
    <row r="596" spans="1:10" x14ac:dyDescent="0.3">
      <c r="A596">
        <v>7</v>
      </c>
      <c r="B596">
        <v>1973</v>
      </c>
      <c r="C596">
        <v>0.4122479</v>
      </c>
      <c r="D596">
        <v>0.28429508209228499</v>
      </c>
      <c r="G596">
        <v>7.2942280000000026E-2</v>
      </c>
      <c r="H596">
        <f t="shared" si="18"/>
        <v>1.6371923610524874E-2</v>
      </c>
      <c r="J596">
        <f t="shared" si="19"/>
        <v>3.0770959684470776</v>
      </c>
    </row>
    <row r="597" spans="1:10" x14ac:dyDescent="0.3">
      <c r="A597">
        <v>7</v>
      </c>
      <c r="B597">
        <v>1974</v>
      </c>
      <c r="C597">
        <v>0.18977118000000001</v>
      </c>
      <c r="D597">
        <v>0.29674911499023399</v>
      </c>
      <c r="G597">
        <v>7.539816000000002E-2</v>
      </c>
      <c r="H597">
        <f t="shared" si="18"/>
        <v>1.1444278574774727E-2</v>
      </c>
      <c r="J597">
        <f t="shared" si="19"/>
        <v>2.0131073090063234</v>
      </c>
    </row>
    <row r="598" spans="1:10" x14ac:dyDescent="0.3">
      <c r="A598">
        <v>7</v>
      </c>
      <c r="B598">
        <v>1975</v>
      </c>
      <c r="C598">
        <v>0.25154352000000002</v>
      </c>
      <c r="D598">
        <v>0.31056308746337802</v>
      </c>
      <c r="G598">
        <v>8.110176999999999E-2</v>
      </c>
      <c r="H598">
        <f t="shared" si="18"/>
        <v>3.483309343564227E-3</v>
      </c>
      <c r="J598">
        <f t="shared" si="19"/>
        <v>0.52957976143882846</v>
      </c>
    </row>
    <row r="599" spans="1:10" x14ac:dyDescent="0.3">
      <c r="A599">
        <v>7</v>
      </c>
      <c r="B599">
        <v>1976</v>
      </c>
      <c r="C599">
        <v>0.14646085</v>
      </c>
      <c r="D599">
        <v>0.32569122314453097</v>
      </c>
      <c r="G599">
        <v>8.0047466000000012E-2</v>
      </c>
      <c r="H599">
        <f t="shared" si="18"/>
        <v>3.2123526657527809E-2</v>
      </c>
      <c r="J599">
        <f t="shared" si="19"/>
        <v>5.0133501833711174</v>
      </c>
    </row>
    <row r="600" spans="1:10" x14ac:dyDescent="0.3">
      <c r="A600">
        <v>7</v>
      </c>
      <c r="B600">
        <v>1977</v>
      </c>
      <c r="C600">
        <v>0.46538624000000001</v>
      </c>
      <c r="D600">
        <v>0.342053413391113</v>
      </c>
      <c r="G600">
        <v>8.6063669999999981E-2</v>
      </c>
      <c r="H600">
        <f t="shared" si="18"/>
        <v>1.5210986119337785E-2</v>
      </c>
      <c r="J600">
        <f t="shared" si="19"/>
        <v>2.0536084687764582</v>
      </c>
    </row>
    <row r="601" spans="1:10" x14ac:dyDescent="0.3">
      <c r="A601">
        <v>7</v>
      </c>
      <c r="B601">
        <v>1978</v>
      </c>
      <c r="C601">
        <v>0.36755369999999998</v>
      </c>
      <c r="D601">
        <v>0.35956668853759699</v>
      </c>
      <c r="G601">
        <v>7.9705179999999987E-2</v>
      </c>
      <c r="H601">
        <f t="shared" si="18"/>
        <v>6.3792352100556802E-5</v>
      </c>
      <c r="J601">
        <f t="shared" si="19"/>
        <v>1.0041428994792519E-2</v>
      </c>
    </row>
    <row r="602" spans="1:10" x14ac:dyDescent="0.3">
      <c r="A602">
        <v>7</v>
      </c>
      <c r="B602">
        <v>1979</v>
      </c>
      <c r="C602">
        <v>0.45315588000000001</v>
      </c>
      <c r="D602">
        <v>0.37813949584960899</v>
      </c>
      <c r="G602">
        <v>5.6999040000000001E-2</v>
      </c>
      <c r="H602">
        <f t="shared" si="18"/>
        <v>5.6274578909990373E-3</v>
      </c>
      <c r="J602">
        <f t="shared" si="19"/>
        <v>1.7321167904783836</v>
      </c>
    </row>
    <row r="603" spans="1:10" x14ac:dyDescent="0.3">
      <c r="A603">
        <v>7</v>
      </c>
      <c r="B603">
        <v>1980</v>
      </c>
      <c r="C603">
        <v>0.55836980000000003</v>
      </c>
      <c r="D603">
        <v>0.39767074584960899</v>
      </c>
      <c r="G603">
        <v>6.6536150000000016E-2</v>
      </c>
      <c r="H603">
        <f t="shared" si="18"/>
        <v>2.5824186004830312E-2</v>
      </c>
      <c r="J603">
        <f t="shared" si="19"/>
        <v>5.8332596215044754</v>
      </c>
    </row>
    <row r="604" spans="1:10" x14ac:dyDescent="0.3">
      <c r="A604">
        <v>7</v>
      </c>
      <c r="B604">
        <v>1981</v>
      </c>
      <c r="C604">
        <v>0.61230980000000002</v>
      </c>
      <c r="D604">
        <v>0.41804695129394498</v>
      </c>
      <c r="G604">
        <v>6.1241569999999967E-2</v>
      </c>
      <c r="H604">
        <f t="shared" si="18"/>
        <v>3.7738054387391626E-2</v>
      </c>
      <c r="J604">
        <f t="shared" si="19"/>
        <v>10.062059344464064</v>
      </c>
    </row>
    <row r="605" spans="1:10" x14ac:dyDescent="0.3">
      <c r="A605">
        <v>7</v>
      </c>
      <c r="B605">
        <v>1982</v>
      </c>
      <c r="C605">
        <v>0.39656603000000001</v>
      </c>
      <c r="D605">
        <v>0.43914985656738198</v>
      </c>
      <c r="G605">
        <v>7.8753829999999969E-2</v>
      </c>
      <c r="H605">
        <f t="shared" si="18"/>
        <v>1.8133822851208663E-3</v>
      </c>
      <c r="J605">
        <f t="shared" si="19"/>
        <v>0.2923788820286628</v>
      </c>
    </row>
    <row r="606" spans="1:10" x14ac:dyDescent="0.3">
      <c r="A606">
        <v>7</v>
      </c>
      <c r="B606">
        <v>1983</v>
      </c>
      <c r="C606">
        <v>0.58610759999999995</v>
      </c>
      <c r="D606">
        <v>0.46085262298583901</v>
      </c>
      <c r="G606">
        <v>7.1531040000000101E-2</v>
      </c>
      <c r="H606">
        <f t="shared" si="18"/>
        <v>1.5688809266817986E-2</v>
      </c>
      <c r="J606">
        <f t="shared" si="19"/>
        <v>3.0662030018092965</v>
      </c>
    </row>
    <row r="607" spans="1:10" x14ac:dyDescent="0.3">
      <c r="A607">
        <v>7</v>
      </c>
      <c r="B607">
        <v>1984</v>
      </c>
      <c r="C607">
        <v>0.41029125</v>
      </c>
      <c r="D607">
        <v>0.48303127288818298</v>
      </c>
      <c r="G607">
        <v>7.2906699999999991E-2</v>
      </c>
      <c r="H607">
        <f t="shared" si="18"/>
        <v>5.2911109297733849E-3</v>
      </c>
      <c r="J607">
        <f t="shared" si="19"/>
        <v>0.99543288653281647</v>
      </c>
    </row>
    <row r="608" spans="1:10" x14ac:dyDescent="0.3">
      <c r="A608">
        <v>7</v>
      </c>
      <c r="B608">
        <v>1985</v>
      </c>
      <c r="C608">
        <v>0.41202748</v>
      </c>
      <c r="D608">
        <v>0.50553417205810502</v>
      </c>
      <c r="G608">
        <v>6.8132599999999988E-2</v>
      </c>
      <c r="H608">
        <f t="shared" si="18"/>
        <v>8.7435014596492812E-3</v>
      </c>
      <c r="J608">
        <f t="shared" si="19"/>
        <v>1.8835426658201357</v>
      </c>
    </row>
    <row r="609" spans="1:10" x14ac:dyDescent="0.3">
      <c r="A609">
        <v>7</v>
      </c>
      <c r="B609">
        <v>1986</v>
      </c>
      <c r="C609">
        <v>0.45798472000000001</v>
      </c>
      <c r="D609">
        <v>0.52824974060058505</v>
      </c>
      <c r="G609">
        <v>6.2557950000000029E-2</v>
      </c>
      <c r="H609">
        <f t="shared" si="18"/>
        <v>4.9371731200006401E-3</v>
      </c>
      <c r="J609">
        <f t="shared" si="19"/>
        <v>1.2615757680394244</v>
      </c>
    </row>
    <row r="610" spans="1:10" x14ac:dyDescent="0.3">
      <c r="A610">
        <v>7</v>
      </c>
      <c r="B610">
        <v>1987</v>
      </c>
      <c r="C610">
        <v>0.60532414999999995</v>
      </c>
      <c r="D610">
        <v>0.55102348327636697</v>
      </c>
      <c r="G610">
        <v>6.168169999999995E-2</v>
      </c>
      <c r="H610">
        <f t="shared" si="18"/>
        <v>2.9485624066310626E-3</v>
      </c>
      <c r="J610">
        <f t="shared" si="19"/>
        <v>0.77499277659236088</v>
      </c>
    </row>
    <row r="611" spans="1:10" x14ac:dyDescent="0.3">
      <c r="A611">
        <v>7</v>
      </c>
      <c r="B611">
        <v>1988</v>
      </c>
      <c r="C611">
        <v>0.64444950000000001</v>
      </c>
      <c r="D611">
        <v>0.57373046875</v>
      </c>
      <c r="G611">
        <v>7.0232859999999953E-2</v>
      </c>
      <c r="H611">
        <f t="shared" si="18"/>
        <v>5.0011813809384782E-3</v>
      </c>
      <c r="J611">
        <f t="shared" si="19"/>
        <v>1.0138924701576566</v>
      </c>
    </row>
    <row r="612" spans="1:10" x14ac:dyDescent="0.3">
      <c r="A612">
        <v>7</v>
      </c>
      <c r="B612">
        <v>1989</v>
      </c>
      <c r="C612">
        <v>0.54154809999999998</v>
      </c>
      <c r="D612">
        <v>0.59623908996581998</v>
      </c>
      <c r="G612">
        <v>6.9503699999999946E-2</v>
      </c>
      <c r="H612">
        <f t="shared" si="18"/>
        <v>2.9911043834414241E-3</v>
      </c>
      <c r="J612">
        <f t="shared" si="19"/>
        <v>0.61917828923362661</v>
      </c>
    </row>
    <row r="613" spans="1:10" x14ac:dyDescent="0.3">
      <c r="A613">
        <v>7</v>
      </c>
      <c r="B613">
        <v>1990</v>
      </c>
      <c r="C613">
        <v>0.72288010000000003</v>
      </c>
      <c r="D613">
        <v>0.61841297149658203</v>
      </c>
      <c r="G613">
        <v>7.2027339999999995E-2</v>
      </c>
      <c r="H613">
        <f t="shared" si="18"/>
        <v>1.0913380937749649E-2</v>
      </c>
      <c r="J613">
        <f t="shared" si="19"/>
        <v>2.1036067804021488</v>
      </c>
    </row>
    <row r="614" spans="1:10" x14ac:dyDescent="0.3">
      <c r="A614">
        <v>7</v>
      </c>
      <c r="B614">
        <v>1991</v>
      </c>
      <c r="C614">
        <v>0.70119430000000005</v>
      </c>
      <c r="D614">
        <v>0.64014339447021396</v>
      </c>
      <c r="G614">
        <v>6.9720759999999937E-2</v>
      </c>
      <c r="H614">
        <f t="shared" si="18"/>
        <v>3.7272130660068663E-3</v>
      </c>
      <c r="J614">
        <f t="shared" si="19"/>
        <v>0.76676096413579775</v>
      </c>
    </row>
    <row r="615" spans="1:10" x14ac:dyDescent="0.3">
      <c r="A615">
        <v>7</v>
      </c>
      <c r="B615">
        <v>1992</v>
      </c>
      <c r="C615">
        <v>0.48719456999999999</v>
      </c>
      <c r="D615">
        <v>0.6613130569458</v>
      </c>
      <c r="G615">
        <v>6.8029430000000002E-2</v>
      </c>
      <c r="H615">
        <f t="shared" si="18"/>
        <v>3.031724749629473E-2</v>
      </c>
      <c r="J615">
        <f t="shared" si="19"/>
        <v>6.550826615473353</v>
      </c>
    </row>
    <row r="616" spans="1:10" x14ac:dyDescent="0.3">
      <c r="A616">
        <v>7</v>
      </c>
      <c r="B616">
        <v>1993</v>
      </c>
      <c r="C616">
        <v>0.52800493999999998</v>
      </c>
      <c r="D616">
        <v>0.68183422088623002</v>
      </c>
      <c r="G616">
        <v>7.4980899999999961E-2</v>
      </c>
      <c r="H616">
        <f t="shared" si="18"/>
        <v>2.3663447657974662E-2</v>
      </c>
      <c r="J616">
        <f t="shared" si="19"/>
        <v>4.2089786393420274</v>
      </c>
    </row>
    <row r="617" spans="1:10" x14ac:dyDescent="0.3">
      <c r="A617">
        <v>7</v>
      </c>
      <c r="B617">
        <v>1994</v>
      </c>
      <c r="C617">
        <v>0.59584755</v>
      </c>
      <c r="D617">
        <v>0.70162200927734297</v>
      </c>
      <c r="G617">
        <v>7.0273669999999955E-2</v>
      </c>
      <c r="H617">
        <f t="shared" si="18"/>
        <v>1.1188236235414286E-2</v>
      </c>
      <c r="J617">
        <f t="shared" si="19"/>
        <v>2.2655641193519074</v>
      </c>
    </row>
    <row r="618" spans="1:10" x14ac:dyDescent="0.3">
      <c r="A618">
        <v>7</v>
      </c>
      <c r="B618">
        <v>1995</v>
      </c>
      <c r="C618">
        <v>0.73916389999999998</v>
      </c>
      <c r="D618">
        <v>0.72061252593994096</v>
      </c>
      <c r="G618">
        <v>6.6420759999999968E-2</v>
      </c>
      <c r="H618">
        <f t="shared" si="18"/>
        <v>3.441534795162308E-4</v>
      </c>
      <c r="J618">
        <f t="shared" si="19"/>
        <v>7.800895921310505E-2</v>
      </c>
    </row>
    <row r="619" spans="1:10" x14ac:dyDescent="0.3">
      <c r="A619">
        <v>7</v>
      </c>
      <c r="B619">
        <v>1996</v>
      </c>
      <c r="C619">
        <v>0.63898710000000003</v>
      </c>
      <c r="D619">
        <v>0.73875808715820301</v>
      </c>
      <c r="G619">
        <v>6.7018750000000016E-2</v>
      </c>
      <c r="H619">
        <f t="shared" si="18"/>
        <v>9.9542498785223053E-3</v>
      </c>
      <c r="J619">
        <f t="shared" si="19"/>
        <v>2.21623542167077</v>
      </c>
    </row>
    <row r="620" spans="1:10" x14ac:dyDescent="0.3">
      <c r="A620">
        <v>7</v>
      </c>
      <c r="B620">
        <v>1997</v>
      </c>
      <c r="C620">
        <v>0.78460629999999998</v>
      </c>
      <c r="D620">
        <v>0.7560396194458</v>
      </c>
      <c r="G620">
        <v>6.4435360000000053E-2</v>
      </c>
      <c r="H620">
        <f t="shared" si="18"/>
        <v>8.16055237885707E-4</v>
      </c>
      <c r="J620">
        <f t="shared" si="19"/>
        <v>0.19654909032424442</v>
      </c>
    </row>
    <row r="621" spans="1:10" x14ac:dyDescent="0.3">
      <c r="A621">
        <v>7</v>
      </c>
      <c r="B621">
        <v>1998</v>
      </c>
      <c r="C621">
        <v>0.93963945000000004</v>
      </c>
      <c r="D621">
        <v>0.77245616912841797</v>
      </c>
      <c r="G621">
        <v>6.8545859999999958E-2</v>
      </c>
      <c r="H621">
        <f t="shared" si="18"/>
        <v>2.7950249402986301E-2</v>
      </c>
      <c r="J621">
        <f t="shared" si="19"/>
        <v>5.9487158997872784</v>
      </c>
    </row>
    <row r="622" spans="1:10" x14ac:dyDescent="0.3">
      <c r="A622">
        <v>7</v>
      </c>
      <c r="B622">
        <v>1999</v>
      </c>
      <c r="C622">
        <v>0.68678269999999997</v>
      </c>
      <c r="D622">
        <v>0.78805637359619096</v>
      </c>
      <c r="G622">
        <v>6.3300429999999963E-2</v>
      </c>
      <c r="H622">
        <f t="shared" si="18"/>
        <v>1.0256356963667832E-2</v>
      </c>
      <c r="J622">
        <f t="shared" si="19"/>
        <v>2.5596454160751616</v>
      </c>
    </row>
    <row r="623" spans="1:10" x14ac:dyDescent="0.3">
      <c r="A623">
        <v>7</v>
      </c>
      <c r="B623">
        <v>2000</v>
      </c>
      <c r="C623">
        <v>0.69338250000000001</v>
      </c>
      <c r="D623">
        <v>0.80288028717041005</v>
      </c>
      <c r="G623">
        <v>6.5713839999999912E-2</v>
      </c>
      <c r="H623">
        <f t="shared" si="18"/>
        <v>1.1989765395216411E-2</v>
      </c>
      <c r="J623">
        <f t="shared" si="19"/>
        <v>2.7764956237789069</v>
      </c>
    </row>
    <row r="624" spans="1:10" x14ac:dyDescent="0.3">
      <c r="A624">
        <v>7</v>
      </c>
      <c r="B624">
        <v>2001</v>
      </c>
      <c r="C624">
        <v>0.8515781</v>
      </c>
      <c r="D624">
        <v>0.81703948974609297</v>
      </c>
      <c r="G624">
        <v>6.2424050000000064E-2</v>
      </c>
      <c r="H624">
        <f t="shared" si="18"/>
        <v>1.192915598271292E-3</v>
      </c>
      <c r="J624">
        <f t="shared" si="19"/>
        <v>0.30612995934515191</v>
      </c>
    </row>
    <row r="625" spans="1:11" x14ac:dyDescent="0.3">
      <c r="A625">
        <v>7</v>
      </c>
      <c r="B625">
        <v>2002</v>
      </c>
      <c r="C625">
        <v>0.90576429999999997</v>
      </c>
      <c r="D625">
        <v>0.83067417144775302</v>
      </c>
      <c r="G625">
        <v>6.136929999999996E-2</v>
      </c>
      <c r="H625">
        <f t="shared" si="18"/>
        <v>5.6385274059929727E-3</v>
      </c>
      <c r="J625">
        <f t="shared" si="19"/>
        <v>1.4971432495611503</v>
      </c>
    </row>
    <row r="626" spans="1:11" x14ac:dyDescent="0.3">
      <c r="A626">
        <v>7</v>
      </c>
      <c r="B626">
        <v>2003</v>
      </c>
      <c r="C626">
        <v>0.90646789999999999</v>
      </c>
      <c r="D626">
        <v>0.84394836425781194</v>
      </c>
      <c r="G626">
        <v>6.5855100000000055E-2</v>
      </c>
      <c r="H626">
        <f t="shared" si="18"/>
        <v>3.9086923494187293E-3</v>
      </c>
      <c r="J626">
        <f t="shared" si="19"/>
        <v>0.90126532323863717</v>
      </c>
    </row>
    <row r="627" spans="1:11" x14ac:dyDescent="0.3">
      <c r="A627">
        <v>7</v>
      </c>
      <c r="B627">
        <v>2004</v>
      </c>
      <c r="C627">
        <v>0.82966846000000005</v>
      </c>
      <c r="D627">
        <v>0.85710716247558505</v>
      </c>
      <c r="G627">
        <v>6.6064800000000035E-2</v>
      </c>
      <c r="H627">
        <f t="shared" si="18"/>
        <v>7.5288239354367428E-4</v>
      </c>
      <c r="J627">
        <f t="shared" si="19"/>
        <v>0.17249912321226965</v>
      </c>
    </row>
    <row r="628" spans="1:11" x14ac:dyDescent="0.3">
      <c r="A628">
        <v>7</v>
      </c>
      <c r="B628">
        <v>2005</v>
      </c>
      <c r="C628">
        <v>0.96916026</v>
      </c>
      <c r="D628">
        <v>0.87041759490966797</v>
      </c>
      <c r="G628">
        <v>6.2314439999999971E-2</v>
      </c>
      <c r="H628">
        <f t="shared" si="18"/>
        <v>9.7501139091414751E-3</v>
      </c>
      <c r="J628">
        <f t="shared" si="19"/>
        <v>2.5109166498980282</v>
      </c>
    </row>
    <row r="629" spans="1:11" x14ac:dyDescent="0.3">
      <c r="A629">
        <v>7</v>
      </c>
      <c r="B629">
        <v>2006</v>
      </c>
      <c r="C629">
        <v>0.93485045</v>
      </c>
      <c r="D629">
        <v>0.88420200347900302</v>
      </c>
      <c r="G629">
        <v>6.1159370000000046E-2</v>
      </c>
      <c r="H629">
        <f t="shared" si="18"/>
        <v>2.5652651349902912E-3</v>
      </c>
      <c r="J629">
        <f t="shared" si="19"/>
        <v>0.68581385149556418</v>
      </c>
    </row>
    <row r="630" spans="1:11" x14ac:dyDescent="0.3">
      <c r="A630">
        <v>7</v>
      </c>
      <c r="B630">
        <v>2007</v>
      </c>
      <c r="C630">
        <v>0.95399909999999999</v>
      </c>
      <c r="D630">
        <v>0.89884662628173795</v>
      </c>
      <c r="G630">
        <v>6.0696299999999925E-2</v>
      </c>
      <c r="H630">
        <f t="shared" si="18"/>
        <v>3.0417953572435853E-3</v>
      </c>
      <c r="J630">
        <f t="shared" si="19"/>
        <v>0.82566819819879056</v>
      </c>
    </row>
    <row r="631" spans="1:11" x14ac:dyDescent="0.3">
      <c r="A631">
        <v>7</v>
      </c>
      <c r="B631">
        <v>2008</v>
      </c>
      <c r="C631">
        <v>0.82794760000000001</v>
      </c>
      <c r="D631">
        <v>0.91480159759521396</v>
      </c>
      <c r="G631">
        <v>6.598499999999996E-2</v>
      </c>
      <c r="H631">
        <f t="shared" si="18"/>
        <v>7.5436168982694306E-3</v>
      </c>
      <c r="J631">
        <f t="shared" si="19"/>
        <v>1.7325635868559706</v>
      </c>
    </row>
    <row r="632" spans="1:11" x14ac:dyDescent="0.3">
      <c r="A632">
        <v>7</v>
      </c>
      <c r="B632">
        <v>2009</v>
      </c>
      <c r="C632">
        <v>0.95907940000000003</v>
      </c>
      <c r="D632">
        <v>0.93257141113281194</v>
      </c>
      <c r="G632">
        <v>6.3052039999999976E-2</v>
      </c>
      <c r="H632">
        <f t="shared" si="18"/>
        <v>7.026734737829673E-4</v>
      </c>
      <c r="J632">
        <f t="shared" si="19"/>
        <v>0.17674831175858996</v>
      </c>
    </row>
    <row r="633" spans="1:11" x14ac:dyDescent="0.3">
      <c r="A633">
        <v>7</v>
      </c>
      <c r="B633">
        <v>2010</v>
      </c>
      <c r="C633">
        <v>1.0426692</v>
      </c>
      <c r="D633">
        <v>0.95274162292480402</v>
      </c>
      <c r="G633">
        <v>6.2591000000000063E-2</v>
      </c>
      <c r="H633">
        <f t="shared" si="18"/>
        <v>8.0869691186153062E-3</v>
      </c>
      <c r="J633">
        <f t="shared" si="19"/>
        <v>2.0642486262907793</v>
      </c>
    </row>
    <row r="634" spans="1:11" x14ac:dyDescent="0.3">
      <c r="A634">
        <v>7</v>
      </c>
      <c r="B634">
        <v>2011</v>
      </c>
      <c r="C634">
        <v>0.89999549999999995</v>
      </c>
      <c r="D634">
        <v>0.97596549987792902</v>
      </c>
      <c r="G634">
        <v>6.339311000000003E-2</v>
      </c>
      <c r="H634">
        <f t="shared" si="18"/>
        <v>5.771440881452543E-3</v>
      </c>
      <c r="J634">
        <f t="shared" si="19"/>
        <v>1.4361510985169896</v>
      </c>
    </row>
    <row r="635" spans="1:11" x14ac:dyDescent="0.3">
      <c r="A635">
        <v>7</v>
      </c>
      <c r="B635">
        <v>2012</v>
      </c>
      <c r="C635">
        <v>0.93990479999999998</v>
      </c>
      <c r="D635">
        <v>1.0029764175414999</v>
      </c>
      <c r="G635">
        <v>6.5503599999999995E-2</v>
      </c>
      <c r="H635">
        <f t="shared" si="18"/>
        <v>3.9780289393012407E-3</v>
      </c>
      <c r="J635">
        <f t="shared" si="19"/>
        <v>0.9271235232986732</v>
      </c>
    </row>
    <row r="636" spans="1:11" x14ac:dyDescent="0.3">
      <c r="A636">
        <v>7</v>
      </c>
      <c r="B636">
        <v>2013</v>
      </c>
      <c r="C636">
        <v>0.98587309999999995</v>
      </c>
      <c r="D636">
        <v>1.03458404541015</v>
      </c>
      <c r="G636">
        <v>7.0183000000000106E-2</v>
      </c>
      <c r="H636">
        <f t="shared" si="18"/>
        <v>2.3727562027506216E-3</v>
      </c>
      <c r="J636">
        <f t="shared" si="19"/>
        <v>0.48171399146315674</v>
      </c>
    </row>
    <row r="637" spans="1:11" x14ac:dyDescent="0.3">
      <c r="A637">
        <v>7</v>
      </c>
      <c r="B637">
        <v>2014</v>
      </c>
      <c r="C637">
        <v>1.0351694</v>
      </c>
      <c r="D637">
        <v>1.07169914245605</v>
      </c>
      <c r="G637">
        <v>6.7933499999999869E-2</v>
      </c>
      <c r="H637">
        <f t="shared" si="18"/>
        <v>1.3344220839053423E-3</v>
      </c>
      <c r="J637">
        <f t="shared" si="19"/>
        <v>0.28915136031757277</v>
      </c>
    </row>
    <row r="638" spans="1:11" x14ac:dyDescent="0.3">
      <c r="A638">
        <v>7</v>
      </c>
      <c r="B638">
        <v>2015</v>
      </c>
      <c r="C638">
        <v>1.1874121</v>
      </c>
      <c r="D638">
        <v>1.11531162261962</v>
      </c>
      <c r="G638">
        <v>6.7654600000000009E-2</v>
      </c>
      <c r="H638">
        <f t="shared" si="18"/>
        <v>5.19847883847868E-3</v>
      </c>
      <c r="J638">
        <f t="shared" si="19"/>
        <v>1.1357470542742074</v>
      </c>
    </row>
    <row r="639" spans="1:11" x14ac:dyDescent="0.3">
      <c r="A639">
        <v>8</v>
      </c>
      <c r="B639">
        <v>1925</v>
      </c>
      <c r="C639">
        <v>8.0155770000000001E-2</v>
      </c>
      <c r="D639">
        <v>0.102659702301025</v>
      </c>
      <c r="G639">
        <v>0.22561889600000001</v>
      </c>
      <c r="H639">
        <f t="shared" si="18"/>
        <v>5.0642696900911636E-4</v>
      </c>
      <c r="J639">
        <f t="shared" si="19"/>
        <v>9.94868970707748E-3</v>
      </c>
      <c r="K639">
        <f>SUM(J639:J729)</f>
        <v>102.90958532851013</v>
      </c>
    </row>
    <row r="640" spans="1:11" x14ac:dyDescent="0.3">
      <c r="A640">
        <v>8</v>
      </c>
      <c r="B640">
        <v>1926</v>
      </c>
      <c r="C640">
        <v>0.23974274000000001</v>
      </c>
      <c r="D640">
        <v>0.110346317291259</v>
      </c>
      <c r="G640">
        <v>0.21658418000000002</v>
      </c>
      <c r="H640">
        <f t="shared" si="18"/>
        <v>1.6743434209819188E-2</v>
      </c>
      <c r="J640">
        <f t="shared" si="19"/>
        <v>0.35693659602345473</v>
      </c>
    </row>
    <row r="641" spans="1:10" x14ac:dyDescent="0.3">
      <c r="A641">
        <v>8</v>
      </c>
      <c r="B641">
        <v>1927</v>
      </c>
      <c r="C641">
        <v>0.13318415</v>
      </c>
      <c r="D641">
        <v>0.12124490737915</v>
      </c>
      <c r="G641">
        <v>0.20616828800000001</v>
      </c>
      <c r="H641">
        <f t="shared" si="18"/>
        <v>1.4254551435952115E-4</v>
      </c>
      <c r="J641">
        <f t="shared" si="19"/>
        <v>3.3535889209357784E-3</v>
      </c>
    </row>
    <row r="642" spans="1:10" x14ac:dyDescent="0.3">
      <c r="A642">
        <v>8</v>
      </c>
      <c r="B642">
        <v>1928</v>
      </c>
      <c r="C642">
        <v>0.15583193000000001</v>
      </c>
      <c r="D642">
        <v>0.13460302352905201</v>
      </c>
      <c r="G642">
        <v>0.22194212700000002</v>
      </c>
      <c r="H642">
        <f t="shared" ref="H642:H705" si="20">(C642-D642)^2</f>
        <v>4.5066646995225762E-4</v>
      </c>
      <c r="J642">
        <f t="shared" si="19"/>
        <v>9.1490449155471765E-3</v>
      </c>
    </row>
    <row r="643" spans="1:10" x14ac:dyDescent="0.3">
      <c r="A643">
        <v>8</v>
      </c>
      <c r="B643">
        <v>1929</v>
      </c>
      <c r="C643">
        <v>-3.0145284000000001E-2</v>
      </c>
      <c r="D643">
        <v>0.14975070953369099</v>
      </c>
      <c r="G643">
        <v>0.22083399999999997</v>
      </c>
      <c r="H643">
        <f t="shared" si="20"/>
        <v>3.2362568489473789E-2</v>
      </c>
      <c r="J643">
        <f t="shared" ref="J643:J706" si="21">H643/(G643^2)</f>
        <v>0.66360722328166444</v>
      </c>
    </row>
    <row r="644" spans="1:10" x14ac:dyDescent="0.3">
      <c r="A644">
        <v>8</v>
      </c>
      <c r="B644">
        <v>1930</v>
      </c>
      <c r="C644">
        <v>0.18549231999999999</v>
      </c>
      <c r="D644">
        <v>0.16608858108520499</v>
      </c>
      <c r="G644">
        <v>0.22721205999999999</v>
      </c>
      <c r="H644">
        <f t="shared" si="20"/>
        <v>3.7650508387352961E-4</v>
      </c>
      <c r="J644">
        <f t="shared" si="21"/>
        <v>7.2930314494137928E-3</v>
      </c>
    </row>
    <row r="645" spans="1:10" x14ac:dyDescent="0.3">
      <c r="A645">
        <v>8</v>
      </c>
      <c r="B645">
        <v>1931</v>
      </c>
      <c r="C645">
        <v>0.25890007999999998</v>
      </c>
      <c r="D645">
        <v>0.183090209960937</v>
      </c>
      <c r="G645">
        <v>0.21858786000000002</v>
      </c>
      <c r="H645">
        <f t="shared" si="20"/>
        <v>5.7471363953396186E-3</v>
      </c>
      <c r="J645">
        <f t="shared" si="21"/>
        <v>0.12028166401877775</v>
      </c>
    </row>
    <row r="646" spans="1:10" x14ac:dyDescent="0.3">
      <c r="A646">
        <v>8</v>
      </c>
      <c r="B646">
        <v>1932</v>
      </c>
      <c r="C646">
        <v>0.21683604000000001</v>
      </c>
      <c r="D646">
        <v>0.20029401779174799</v>
      </c>
      <c r="G646">
        <v>0.21298692999999999</v>
      </c>
      <c r="H646">
        <f t="shared" si="20"/>
        <v>2.7363849873830292E-4</v>
      </c>
      <c r="J646">
        <f t="shared" si="21"/>
        <v>6.0321383228252789E-3</v>
      </c>
    </row>
    <row r="647" spans="1:10" x14ac:dyDescent="0.3">
      <c r="A647">
        <v>8</v>
      </c>
      <c r="B647">
        <v>1933</v>
      </c>
      <c r="C647">
        <v>3.9953324999999998E-2</v>
      </c>
      <c r="D647">
        <v>0.21729612350463801</v>
      </c>
      <c r="G647">
        <v>0.20951196</v>
      </c>
      <c r="H647">
        <f t="shared" si="20"/>
        <v>3.1450468181456644E-2</v>
      </c>
      <c r="J647">
        <f t="shared" si="21"/>
        <v>0.7164889145325184</v>
      </c>
    </row>
    <row r="648" spans="1:10" x14ac:dyDescent="0.3">
      <c r="A648">
        <v>8</v>
      </c>
      <c r="B648">
        <v>1934</v>
      </c>
      <c r="C648">
        <v>0.18796089999999999</v>
      </c>
      <c r="D648">
        <v>0.23375272750854401</v>
      </c>
      <c r="G648">
        <v>0.19933419999999999</v>
      </c>
      <c r="H648">
        <f t="shared" si="20"/>
        <v>2.0968914665722488E-3</v>
      </c>
      <c r="J648">
        <f t="shared" si="21"/>
        <v>5.2773064886497141E-2</v>
      </c>
    </row>
    <row r="649" spans="1:10" x14ac:dyDescent="0.3">
      <c r="A649">
        <v>8</v>
      </c>
      <c r="B649">
        <v>1935</v>
      </c>
      <c r="C649">
        <v>0.15623851</v>
      </c>
      <c r="D649">
        <v>0.24937820434570299</v>
      </c>
      <c r="G649">
        <v>0.19487621700000002</v>
      </c>
      <c r="H649">
        <f t="shared" si="20"/>
        <v>8.6750026628109773E-3</v>
      </c>
      <c r="J649">
        <f t="shared" si="21"/>
        <v>0.22842936686305348</v>
      </c>
    </row>
    <row r="650" spans="1:10" x14ac:dyDescent="0.3">
      <c r="A650">
        <v>8</v>
      </c>
      <c r="B650">
        <v>1936</v>
      </c>
      <c r="C650">
        <v>0.1927768</v>
      </c>
      <c r="D650">
        <v>0.263932704925537</v>
      </c>
      <c r="G650">
        <v>0.18799661000000001</v>
      </c>
      <c r="H650">
        <f t="shared" si="20"/>
        <v>5.0631628057720606E-3</v>
      </c>
      <c r="J650">
        <f t="shared" si="21"/>
        <v>0.14325898052718006</v>
      </c>
    </row>
    <row r="651" spans="1:10" x14ac:dyDescent="0.3">
      <c r="A651">
        <v>8</v>
      </c>
      <c r="B651">
        <v>1937</v>
      </c>
      <c r="C651">
        <v>0.34309879999999998</v>
      </c>
      <c r="D651">
        <v>0.27722644805908198</v>
      </c>
      <c r="G651">
        <v>0.20111965000000001</v>
      </c>
      <c r="H651">
        <f t="shared" si="20"/>
        <v>4.3391667502281645E-3</v>
      </c>
      <c r="J651">
        <f t="shared" si="21"/>
        <v>0.10727470548325262</v>
      </c>
    </row>
    <row r="652" spans="1:10" x14ac:dyDescent="0.3">
      <c r="A652">
        <v>8</v>
      </c>
      <c r="B652">
        <v>1938</v>
      </c>
      <c r="C652">
        <v>0.35009699999999999</v>
      </c>
      <c r="D652">
        <v>0.28910875320434498</v>
      </c>
      <c r="G652">
        <v>0.19620601999999998</v>
      </c>
      <c r="H652">
        <f t="shared" si="20"/>
        <v>3.7195662472077236E-3</v>
      </c>
      <c r="J652">
        <f t="shared" si="21"/>
        <v>9.6620135349018824E-2</v>
      </c>
    </row>
    <row r="653" spans="1:10" x14ac:dyDescent="0.3">
      <c r="A653">
        <v>8</v>
      </c>
      <c r="B653">
        <v>1939</v>
      </c>
      <c r="C653">
        <v>0.32150054</v>
      </c>
      <c r="D653">
        <v>0.29947519302368097</v>
      </c>
      <c r="G653">
        <v>0.21181498999999998</v>
      </c>
      <c r="H653">
        <f t="shared" si="20"/>
        <v>4.8511590942724569E-4</v>
      </c>
      <c r="J653">
        <f t="shared" si="21"/>
        <v>1.0812649728877468E-2</v>
      </c>
    </row>
    <row r="654" spans="1:10" x14ac:dyDescent="0.3">
      <c r="A654">
        <v>8</v>
      </c>
      <c r="B654">
        <v>1940</v>
      </c>
      <c r="C654">
        <v>0.43823355000000003</v>
      </c>
      <c r="D654">
        <v>0.30825376510620101</v>
      </c>
      <c r="G654">
        <v>0.23577104999999998</v>
      </c>
      <c r="H654">
        <f t="shared" si="20"/>
        <v>1.6894744481038265E-2</v>
      </c>
      <c r="J654">
        <f t="shared" si="21"/>
        <v>0.3039279722722904</v>
      </c>
    </row>
    <row r="655" spans="1:10" x14ac:dyDescent="0.3">
      <c r="A655">
        <v>8</v>
      </c>
      <c r="B655">
        <v>1941</v>
      </c>
      <c r="C655">
        <v>0.40042704000000001</v>
      </c>
      <c r="D655">
        <v>0.31540632247924799</v>
      </c>
      <c r="G655">
        <v>0.40076646999999999</v>
      </c>
      <c r="H655">
        <f t="shared" si="20"/>
        <v>7.2285224077435093E-3</v>
      </c>
      <c r="J655">
        <f t="shared" si="21"/>
        <v>4.500562250265621E-2</v>
      </c>
    </row>
    <row r="656" spans="1:10" x14ac:dyDescent="0.3">
      <c r="A656">
        <v>8</v>
      </c>
      <c r="B656">
        <v>1942</v>
      </c>
      <c r="C656">
        <v>0.36370382000000001</v>
      </c>
      <c r="D656">
        <v>0.32093191146850503</v>
      </c>
      <c r="G656">
        <v>0.39323698000000007</v>
      </c>
      <c r="H656">
        <f t="shared" si="20"/>
        <v>1.8294361594265733E-3</v>
      </c>
      <c r="J656">
        <f t="shared" si="21"/>
        <v>1.1830648590279788E-2</v>
      </c>
    </row>
    <row r="657" spans="1:10" x14ac:dyDescent="0.3">
      <c r="A657">
        <v>8</v>
      </c>
      <c r="B657">
        <v>1943</v>
      </c>
      <c r="C657">
        <v>0.36871934000000001</v>
      </c>
      <c r="D657">
        <v>0.32484960556030201</v>
      </c>
      <c r="G657">
        <v>0.41200937000000004</v>
      </c>
      <c r="H657">
        <f t="shared" si="20"/>
        <v>1.9245535998096243E-3</v>
      </c>
      <c r="J657">
        <f t="shared" si="21"/>
        <v>1.1337461492804103E-2</v>
      </c>
    </row>
    <row r="658" spans="1:10" x14ac:dyDescent="0.3">
      <c r="A658">
        <v>8</v>
      </c>
      <c r="B658">
        <v>1944</v>
      </c>
      <c r="C658">
        <v>0.50640289999999999</v>
      </c>
      <c r="D658">
        <v>0.32720756530761702</v>
      </c>
      <c r="G658">
        <v>0.39719992000000004</v>
      </c>
      <c r="H658">
        <f t="shared" si="20"/>
        <v>3.2110967975515152E-2</v>
      </c>
      <c r="J658">
        <f t="shared" si="21"/>
        <v>0.20353312126508649</v>
      </c>
    </row>
    <row r="659" spans="1:10" x14ac:dyDescent="0.3">
      <c r="A659">
        <v>8</v>
      </c>
      <c r="B659">
        <v>1945</v>
      </c>
      <c r="C659">
        <v>0.40538610000000003</v>
      </c>
      <c r="D659">
        <v>0.32807064056396401</v>
      </c>
      <c r="G659">
        <v>0.40074251999999999</v>
      </c>
      <c r="H659">
        <f t="shared" si="20"/>
        <v>5.9776802678053308E-3</v>
      </c>
      <c r="J659">
        <f t="shared" si="21"/>
        <v>3.7222182337591309E-2</v>
      </c>
    </row>
    <row r="660" spans="1:10" x14ac:dyDescent="0.3">
      <c r="A660">
        <v>8</v>
      </c>
      <c r="B660">
        <v>1946</v>
      </c>
      <c r="C660">
        <v>0.24348313999999999</v>
      </c>
      <c r="D660">
        <v>0.32753705978393499</v>
      </c>
      <c r="G660">
        <v>0.29427287000000002</v>
      </c>
      <c r="H660">
        <f t="shared" si="20"/>
        <v>7.0650614310441805E-3</v>
      </c>
      <c r="J660">
        <f t="shared" si="21"/>
        <v>8.1585972119903635E-2</v>
      </c>
    </row>
    <row r="661" spans="1:10" x14ac:dyDescent="0.3">
      <c r="A661">
        <v>8</v>
      </c>
      <c r="B661">
        <v>1947</v>
      </c>
      <c r="C661">
        <v>0.27109214999999998</v>
      </c>
      <c r="D661">
        <v>0.325703144073486</v>
      </c>
      <c r="G661">
        <v>0.28116972000000001</v>
      </c>
      <c r="H661">
        <f t="shared" si="20"/>
        <v>2.982360673694325E-3</v>
      </c>
      <c r="J661">
        <f t="shared" si="21"/>
        <v>3.7724463066145589E-2</v>
      </c>
    </row>
    <row r="662" spans="1:10" x14ac:dyDescent="0.3">
      <c r="A662">
        <v>8</v>
      </c>
      <c r="B662">
        <v>1948</v>
      </c>
      <c r="C662">
        <v>0.23763648000000001</v>
      </c>
      <c r="D662">
        <v>0.322695732116699</v>
      </c>
      <c r="G662">
        <v>0.26894422000000001</v>
      </c>
      <c r="H662">
        <f t="shared" si="20"/>
        <v>7.2350763706521609E-3</v>
      </c>
      <c r="J662">
        <f t="shared" si="21"/>
        <v>0.1000273330064532</v>
      </c>
    </row>
    <row r="663" spans="1:10" x14ac:dyDescent="0.3">
      <c r="A663">
        <v>8</v>
      </c>
      <c r="B663">
        <v>1949</v>
      </c>
      <c r="C663">
        <v>0.21849552</v>
      </c>
      <c r="D663">
        <v>0.31864738464355402</v>
      </c>
      <c r="G663">
        <v>0.22055050999999998</v>
      </c>
      <c r="H663">
        <f t="shared" si="20"/>
        <v>1.0030395991580766E-2</v>
      </c>
      <c r="J663">
        <f t="shared" si="21"/>
        <v>0.20620630783565225</v>
      </c>
    </row>
    <row r="664" spans="1:10" x14ac:dyDescent="0.3">
      <c r="A664">
        <v>8</v>
      </c>
      <c r="B664">
        <v>1950</v>
      </c>
      <c r="C664">
        <v>0.13567593999999999</v>
      </c>
      <c r="D664">
        <v>0.31370019912719699</v>
      </c>
      <c r="G664">
        <v>0.21207035199999999</v>
      </c>
      <c r="H664">
        <f t="shared" si="20"/>
        <v>3.1692636837787384E-2</v>
      </c>
      <c r="J664">
        <f t="shared" si="21"/>
        <v>0.70469056960273202</v>
      </c>
    </row>
    <row r="665" spans="1:10" x14ac:dyDescent="0.3">
      <c r="A665">
        <v>8</v>
      </c>
      <c r="B665">
        <v>1951</v>
      </c>
      <c r="C665">
        <v>0.30114380000000002</v>
      </c>
      <c r="D665">
        <v>0.30800247192382801</v>
      </c>
      <c r="G665">
        <v>0.17839253999999999</v>
      </c>
      <c r="H665">
        <f t="shared" si="20"/>
        <v>4.7041380558706434E-5</v>
      </c>
      <c r="J665">
        <f t="shared" si="21"/>
        <v>1.4781778170096923E-3</v>
      </c>
    </row>
    <row r="666" spans="1:10" x14ac:dyDescent="0.3">
      <c r="A666">
        <v>8</v>
      </c>
      <c r="B666">
        <v>1952</v>
      </c>
      <c r="C666">
        <v>0.3776523</v>
      </c>
      <c r="D666">
        <v>0.30171251296996998</v>
      </c>
      <c r="G666">
        <v>0.19658106999999997</v>
      </c>
      <c r="H666">
        <f t="shared" si="20"/>
        <v>5.7668512541663147E-3</v>
      </c>
      <c r="J666">
        <f t="shared" si="21"/>
        <v>0.14922973248109173</v>
      </c>
    </row>
    <row r="667" spans="1:10" x14ac:dyDescent="0.3">
      <c r="A667">
        <v>8</v>
      </c>
      <c r="B667">
        <v>1953</v>
      </c>
      <c r="C667">
        <v>0.4399285</v>
      </c>
      <c r="D667">
        <v>0.29498958587646401</v>
      </c>
      <c r="G667">
        <v>0.19632071000000001</v>
      </c>
      <c r="H667">
        <f t="shared" si="20"/>
        <v>2.1007288827309741E-2</v>
      </c>
      <c r="J667">
        <f t="shared" si="21"/>
        <v>0.54505179534661696</v>
      </c>
    </row>
    <row r="668" spans="1:10" x14ac:dyDescent="0.3">
      <c r="A668">
        <v>8</v>
      </c>
      <c r="B668">
        <v>1954</v>
      </c>
      <c r="C668">
        <v>0.24554751999999999</v>
      </c>
      <c r="D668">
        <v>0.287997245788574</v>
      </c>
      <c r="G668">
        <v>0.18350500999999997</v>
      </c>
      <c r="H668">
        <f t="shared" si="20"/>
        <v>1.8019792195251251E-3</v>
      </c>
      <c r="J668">
        <f t="shared" si="21"/>
        <v>5.351233810188695E-2</v>
      </c>
    </row>
    <row r="669" spans="1:10" x14ac:dyDescent="0.3">
      <c r="A669">
        <v>8</v>
      </c>
      <c r="B669">
        <v>1955</v>
      </c>
      <c r="C669">
        <v>0.16498779999999999</v>
      </c>
      <c r="D669">
        <v>0.28089809417724598</v>
      </c>
      <c r="G669">
        <v>0.17424004999999998</v>
      </c>
      <c r="H669">
        <f t="shared" si="20"/>
        <v>1.3435196296255706E-2</v>
      </c>
      <c r="J669">
        <f t="shared" si="21"/>
        <v>0.44253542531228601</v>
      </c>
    </row>
    <row r="670" spans="1:10" x14ac:dyDescent="0.3">
      <c r="A670">
        <v>8</v>
      </c>
      <c r="B670">
        <v>1956</v>
      </c>
      <c r="C670">
        <v>9.9132129999999999E-2</v>
      </c>
      <c r="D670">
        <v>0.273849487304687</v>
      </c>
      <c r="G670">
        <v>0.15192007599999999</v>
      </c>
      <c r="H670">
        <f t="shared" si="20"/>
        <v>3.0526154943533668E-2</v>
      </c>
      <c r="J670">
        <f t="shared" si="21"/>
        <v>1.3226403458119254</v>
      </c>
    </row>
    <row r="671" spans="1:10" x14ac:dyDescent="0.3">
      <c r="A671">
        <v>8</v>
      </c>
      <c r="B671">
        <v>1957</v>
      </c>
      <c r="C671">
        <v>0.32696282999999998</v>
      </c>
      <c r="D671">
        <v>0.26701164245605402</v>
      </c>
      <c r="G671">
        <v>0.13046738999999996</v>
      </c>
      <c r="H671">
        <f t="shared" si="20"/>
        <v>3.5941448879293811E-3</v>
      </c>
      <c r="J671">
        <f t="shared" si="21"/>
        <v>0.21115026541830961</v>
      </c>
    </row>
    <row r="672" spans="1:10" x14ac:dyDescent="0.3">
      <c r="A672">
        <v>8</v>
      </c>
      <c r="B672">
        <v>1958</v>
      </c>
      <c r="C672">
        <v>0.3446652</v>
      </c>
      <c r="D672">
        <v>0.26053667068481401</v>
      </c>
      <c r="G672">
        <v>0.13088402999999998</v>
      </c>
      <c r="H672">
        <f t="shared" si="20"/>
        <v>7.0776094447361094E-3</v>
      </c>
      <c r="J672">
        <f t="shared" si="21"/>
        <v>0.41315525057802843</v>
      </c>
    </row>
    <row r="673" spans="1:10" x14ac:dyDescent="0.3">
      <c r="A673">
        <v>8</v>
      </c>
      <c r="B673">
        <v>1959</v>
      </c>
      <c r="C673">
        <v>0.31429294000000002</v>
      </c>
      <c r="D673">
        <v>0.25457143783569303</v>
      </c>
      <c r="G673">
        <v>0.12471783000000003</v>
      </c>
      <c r="H673">
        <f t="shared" si="20"/>
        <v>3.5666578207613252E-3</v>
      </c>
      <c r="J673">
        <f t="shared" si="21"/>
        <v>0.22930015809960744</v>
      </c>
    </row>
    <row r="674" spans="1:10" x14ac:dyDescent="0.3">
      <c r="A674">
        <v>8</v>
      </c>
      <c r="B674">
        <v>1960</v>
      </c>
      <c r="C674">
        <v>0.24683817</v>
      </c>
      <c r="D674">
        <v>0.24925804138183499</v>
      </c>
      <c r="G674">
        <v>0.11735596999999998</v>
      </c>
      <c r="H674">
        <f t="shared" si="20"/>
        <v>5.8557775046240232E-6</v>
      </c>
      <c r="J674">
        <f t="shared" si="21"/>
        <v>4.2518133586774671E-4</v>
      </c>
    </row>
    <row r="675" spans="1:10" x14ac:dyDescent="0.3">
      <c r="A675">
        <v>8</v>
      </c>
      <c r="B675">
        <v>1961</v>
      </c>
      <c r="C675">
        <v>0.34229797000000001</v>
      </c>
      <c r="D675">
        <v>0.244726657867431</v>
      </c>
      <c r="G675">
        <v>0.10156016000000001</v>
      </c>
      <c r="H675">
        <f t="shared" si="20"/>
        <v>9.5201609512712074E-3</v>
      </c>
      <c r="J675">
        <f t="shared" si="21"/>
        <v>0.92299115239575713</v>
      </c>
    </row>
    <row r="676" spans="1:10" x14ac:dyDescent="0.3">
      <c r="A676">
        <v>8</v>
      </c>
      <c r="B676">
        <v>1962</v>
      </c>
      <c r="C676">
        <v>0.29825502999999998</v>
      </c>
      <c r="D676">
        <v>0.24109888076782199</v>
      </c>
      <c r="G676">
        <v>0.10653303000000003</v>
      </c>
      <c r="H676">
        <f t="shared" si="20"/>
        <v>3.2668253950510003E-3</v>
      </c>
      <c r="J676">
        <f t="shared" si="21"/>
        <v>0.28784412134855653</v>
      </c>
    </row>
    <row r="677" spans="1:10" x14ac:dyDescent="0.3">
      <c r="A677">
        <v>8</v>
      </c>
      <c r="B677">
        <v>1963</v>
      </c>
      <c r="C677">
        <v>0.32548714000000001</v>
      </c>
      <c r="D677">
        <v>0.23848819732665999</v>
      </c>
      <c r="G677">
        <v>0.10753833000000002</v>
      </c>
      <c r="H677">
        <f t="shared" si="20"/>
        <v>7.5688160262791029E-3</v>
      </c>
      <c r="J677">
        <f t="shared" si="21"/>
        <v>0.65448752542914945</v>
      </c>
    </row>
    <row r="678" spans="1:10" x14ac:dyDescent="0.3">
      <c r="A678">
        <v>8</v>
      </c>
      <c r="B678">
        <v>1964</v>
      </c>
      <c r="C678">
        <v>5.6436214999999998E-2</v>
      </c>
      <c r="D678">
        <v>0.23699426651000899</v>
      </c>
      <c r="G678">
        <v>8.726594E-2</v>
      </c>
      <c r="H678">
        <f t="shared" si="20"/>
        <v>3.2601209965091055E-2</v>
      </c>
      <c r="J678">
        <f t="shared" si="21"/>
        <v>4.2809896373600598</v>
      </c>
    </row>
    <row r="679" spans="1:10" x14ac:dyDescent="0.3">
      <c r="A679">
        <v>8</v>
      </c>
      <c r="B679">
        <v>1965</v>
      </c>
      <c r="C679">
        <v>0.15787726999999999</v>
      </c>
      <c r="D679">
        <v>0.236708164215087</v>
      </c>
      <c r="G679">
        <v>9.838044E-2</v>
      </c>
      <c r="H679">
        <f t="shared" si="20"/>
        <v>6.2143098827502396E-3</v>
      </c>
      <c r="J679">
        <f t="shared" si="21"/>
        <v>0.64205966053358388</v>
      </c>
    </row>
    <row r="680" spans="1:10" x14ac:dyDescent="0.3">
      <c r="A680">
        <v>8</v>
      </c>
      <c r="B680">
        <v>1966</v>
      </c>
      <c r="C680">
        <v>0.21340013999999999</v>
      </c>
      <c r="D680">
        <v>0.23770809173583901</v>
      </c>
      <c r="G680">
        <v>9.9023140000000037E-2</v>
      </c>
      <c r="H680">
        <f t="shared" si="20"/>
        <v>5.9087651759187935E-4</v>
      </c>
      <c r="J680">
        <f t="shared" si="21"/>
        <v>6.0259197485482092E-2</v>
      </c>
    </row>
    <row r="681" spans="1:10" x14ac:dyDescent="0.3">
      <c r="A681">
        <v>8</v>
      </c>
      <c r="B681">
        <v>1967</v>
      </c>
      <c r="C681">
        <v>0.24475846000000001</v>
      </c>
      <c r="D681">
        <v>0.24005126953125</v>
      </c>
      <c r="G681">
        <v>8.6234999999999978E-2</v>
      </c>
      <c r="H681">
        <f t="shared" si="20"/>
        <v>2.215764210909095E-5</v>
      </c>
      <c r="J681">
        <f t="shared" si="21"/>
        <v>2.9795893133081688E-3</v>
      </c>
    </row>
    <row r="682" spans="1:10" x14ac:dyDescent="0.3">
      <c r="A682">
        <v>8</v>
      </c>
      <c r="B682">
        <v>1968</v>
      </c>
      <c r="C682">
        <v>0.19365019</v>
      </c>
      <c r="D682">
        <v>0.24379634857177701</v>
      </c>
      <c r="G682">
        <v>8.9255870000000015E-2</v>
      </c>
      <c r="H682">
        <f t="shared" si="20"/>
        <v>2.5146372195058051E-3</v>
      </c>
      <c r="J682">
        <f t="shared" si="21"/>
        <v>0.31564707140348258</v>
      </c>
    </row>
    <row r="683" spans="1:10" x14ac:dyDescent="0.3">
      <c r="A683">
        <v>8</v>
      </c>
      <c r="B683">
        <v>1969</v>
      </c>
      <c r="C683">
        <v>0.33091152000000001</v>
      </c>
      <c r="D683">
        <v>0.24897575378417899</v>
      </c>
      <c r="G683">
        <v>8.1010250000000006E-2</v>
      </c>
      <c r="H683">
        <f t="shared" si="20"/>
        <v>6.7134697853736772E-3</v>
      </c>
      <c r="J683">
        <f t="shared" si="21"/>
        <v>1.0229798841334017</v>
      </c>
    </row>
    <row r="684" spans="1:10" x14ac:dyDescent="0.3">
      <c r="A684">
        <v>8</v>
      </c>
      <c r="B684">
        <v>1970</v>
      </c>
      <c r="C684">
        <v>0.27723365999999999</v>
      </c>
      <c r="D684">
        <v>0.25561285018920898</v>
      </c>
      <c r="G684">
        <v>8.1977119999999987E-2</v>
      </c>
      <c r="H684">
        <f t="shared" si="20"/>
        <v>4.6745941687439675E-4</v>
      </c>
      <c r="J684">
        <f t="shared" si="21"/>
        <v>6.9559844029470075E-2</v>
      </c>
    </row>
    <row r="685" spans="1:10" x14ac:dyDescent="0.3">
      <c r="A685">
        <v>8</v>
      </c>
      <c r="B685">
        <v>1971</v>
      </c>
      <c r="C685">
        <v>0.15640870000000001</v>
      </c>
      <c r="D685">
        <v>0.26371860504150302</v>
      </c>
      <c r="G685">
        <v>7.7166373999999996E-2</v>
      </c>
      <c r="H685">
        <f t="shared" si="20"/>
        <v>1.1515415720016393E-2</v>
      </c>
      <c r="J685">
        <f t="shared" si="21"/>
        <v>1.9338528913589381</v>
      </c>
    </row>
    <row r="686" spans="1:10" x14ac:dyDescent="0.3">
      <c r="A686">
        <v>8</v>
      </c>
      <c r="B686">
        <v>1972</v>
      </c>
      <c r="C686">
        <v>0.26850644000000001</v>
      </c>
      <c r="D686">
        <v>0.27328538894653298</v>
      </c>
      <c r="G686">
        <v>7.5784360000000023E-2</v>
      </c>
      <c r="H686">
        <f t="shared" si="20"/>
        <v>2.2838353033568566E-5</v>
      </c>
      <c r="J686">
        <f t="shared" si="21"/>
        <v>3.976542306533987E-3</v>
      </c>
    </row>
    <row r="687" spans="1:10" x14ac:dyDescent="0.3">
      <c r="A687">
        <v>8</v>
      </c>
      <c r="B687">
        <v>1973</v>
      </c>
      <c r="C687">
        <v>0.4122479</v>
      </c>
      <c r="D687">
        <v>0.28429603576660101</v>
      </c>
      <c r="G687">
        <v>7.2942280000000026E-2</v>
      </c>
      <c r="H687">
        <f t="shared" si="20"/>
        <v>1.6371679560802169E-2</v>
      </c>
      <c r="J687">
        <f t="shared" si="21"/>
        <v>3.0770500994071464</v>
      </c>
    </row>
    <row r="688" spans="1:10" x14ac:dyDescent="0.3">
      <c r="A688">
        <v>8</v>
      </c>
      <c r="B688">
        <v>1974</v>
      </c>
      <c r="C688">
        <v>0.18977118000000001</v>
      </c>
      <c r="D688">
        <v>0.29672145843505798</v>
      </c>
      <c r="G688">
        <v>7.539816000000002E-2</v>
      </c>
      <c r="H688">
        <f t="shared" si="20"/>
        <v>1.1438362057336426E-2</v>
      </c>
      <c r="J688">
        <f t="shared" si="21"/>
        <v>2.0120665632379393</v>
      </c>
    </row>
    <row r="689" spans="1:10" x14ac:dyDescent="0.3">
      <c r="A689">
        <v>8</v>
      </c>
      <c r="B689">
        <v>1975</v>
      </c>
      <c r="C689">
        <v>0.25154352000000002</v>
      </c>
      <c r="D689">
        <v>0.31050872802734297</v>
      </c>
      <c r="G689">
        <v>8.110176999999999E-2</v>
      </c>
      <c r="H689">
        <f t="shared" si="20"/>
        <v>3.4768957577078299E-3</v>
      </c>
      <c r="J689">
        <f t="shared" si="21"/>
        <v>0.5286046814408164</v>
      </c>
    </row>
    <row r="690" spans="1:10" x14ac:dyDescent="0.3">
      <c r="A690">
        <v>8</v>
      </c>
      <c r="B690">
        <v>1976</v>
      </c>
      <c r="C690">
        <v>0.14646085</v>
      </c>
      <c r="D690">
        <v>0.32560825347900302</v>
      </c>
      <c r="G690">
        <v>8.0047466000000012E-2</v>
      </c>
      <c r="H690">
        <f t="shared" si="20"/>
        <v>3.2093792173268701E-2</v>
      </c>
      <c r="J690">
        <f t="shared" si="21"/>
        <v>5.0087096784943617</v>
      </c>
    </row>
    <row r="691" spans="1:10" x14ac:dyDescent="0.3">
      <c r="A691">
        <v>8</v>
      </c>
      <c r="B691">
        <v>1977</v>
      </c>
      <c r="C691">
        <v>0.46538624000000001</v>
      </c>
      <c r="D691">
        <v>0.34194517135620101</v>
      </c>
      <c r="G691">
        <v>8.6063669999999981E-2</v>
      </c>
      <c r="H691">
        <f t="shared" si="20"/>
        <v>1.5237697427923098E-2</v>
      </c>
      <c r="J691">
        <f t="shared" si="21"/>
        <v>2.0572147155439287</v>
      </c>
    </row>
    <row r="692" spans="1:10" x14ac:dyDescent="0.3">
      <c r="A692">
        <v>8</v>
      </c>
      <c r="B692">
        <v>1978</v>
      </c>
      <c r="C692">
        <v>0.36755369999999998</v>
      </c>
      <c r="D692">
        <v>0.35943937301635698</v>
      </c>
      <c r="G692">
        <v>7.9705179999999987E-2</v>
      </c>
      <c r="H692">
        <f t="shared" si="20"/>
        <v>6.5842302397476997E-5</v>
      </c>
      <c r="J692">
        <f t="shared" si="21"/>
        <v>1.0364107649389397E-2</v>
      </c>
    </row>
    <row r="693" spans="1:10" x14ac:dyDescent="0.3">
      <c r="A693">
        <v>8</v>
      </c>
      <c r="B693">
        <v>1979</v>
      </c>
      <c r="C693">
        <v>0.45315588000000001</v>
      </c>
      <c r="D693">
        <v>0.37799406051635698</v>
      </c>
      <c r="G693">
        <v>5.6999040000000001E-2</v>
      </c>
      <c r="H693">
        <f t="shared" si="20"/>
        <v>5.6492991080917413E-3</v>
      </c>
      <c r="J693">
        <f t="shared" si="21"/>
        <v>1.7388394598583299</v>
      </c>
    </row>
    <row r="694" spans="1:10" x14ac:dyDescent="0.3">
      <c r="A694">
        <v>8</v>
      </c>
      <c r="B694">
        <v>1980</v>
      </c>
      <c r="C694">
        <v>0.55836980000000003</v>
      </c>
      <c r="D694">
        <v>0.39751386642455999</v>
      </c>
      <c r="G694">
        <v>6.6536150000000016E-2</v>
      </c>
      <c r="H694">
        <f t="shared" si="20"/>
        <v>2.5874631366426377E-2</v>
      </c>
      <c r="J694">
        <f t="shared" si="21"/>
        <v>5.8446544004468004</v>
      </c>
    </row>
    <row r="695" spans="1:10" x14ac:dyDescent="0.3">
      <c r="A695">
        <v>8</v>
      </c>
      <c r="B695">
        <v>1981</v>
      </c>
      <c r="C695">
        <v>0.61230980000000002</v>
      </c>
      <c r="D695">
        <v>0.417878627777099</v>
      </c>
      <c r="G695">
        <v>6.1241569999999967E-2</v>
      </c>
      <c r="H695">
        <f t="shared" si="20"/>
        <v>3.7803480731971394E-2</v>
      </c>
      <c r="J695">
        <f t="shared" si="21"/>
        <v>10.079503904670988</v>
      </c>
    </row>
    <row r="696" spans="1:10" x14ac:dyDescent="0.3">
      <c r="A696">
        <v>8</v>
      </c>
      <c r="B696">
        <v>1982</v>
      </c>
      <c r="C696">
        <v>0.39656603000000001</v>
      </c>
      <c r="D696">
        <v>0.438978672027587</v>
      </c>
      <c r="G696">
        <v>7.8753829999999969E-2</v>
      </c>
      <c r="H696">
        <f t="shared" si="20"/>
        <v>1.7988322037602381E-3</v>
      </c>
      <c r="J696">
        <f t="shared" si="21"/>
        <v>0.29003291418914406</v>
      </c>
    </row>
    <row r="697" spans="1:10" x14ac:dyDescent="0.3">
      <c r="A697">
        <v>8</v>
      </c>
      <c r="B697">
        <v>1983</v>
      </c>
      <c r="C697">
        <v>0.58610759999999995</v>
      </c>
      <c r="D697">
        <v>0.46068382263183499</v>
      </c>
      <c r="G697">
        <v>7.1531040000000101E-2</v>
      </c>
      <c r="H697">
        <f t="shared" si="20"/>
        <v>1.5731123929299009E-2</v>
      </c>
      <c r="J697">
        <f t="shared" si="21"/>
        <v>3.0744729312165124</v>
      </c>
    </row>
    <row r="698" spans="1:10" x14ac:dyDescent="0.3">
      <c r="A698">
        <v>8</v>
      </c>
      <c r="B698">
        <v>1984</v>
      </c>
      <c r="C698">
        <v>0.41029125</v>
      </c>
      <c r="D698">
        <v>0.482862949371337</v>
      </c>
      <c r="G698">
        <v>7.2906699999999991E-2</v>
      </c>
      <c r="H698">
        <f t="shared" si="20"/>
        <v>5.2666515496437158E-3</v>
      </c>
      <c r="J698">
        <f t="shared" si="21"/>
        <v>0.99083126851942838</v>
      </c>
    </row>
    <row r="699" spans="1:10" x14ac:dyDescent="0.3">
      <c r="A699">
        <v>8</v>
      </c>
      <c r="B699">
        <v>1985</v>
      </c>
      <c r="C699">
        <v>0.41202748</v>
      </c>
      <c r="D699">
        <v>0.50538444519042902</v>
      </c>
      <c r="G699">
        <v>6.8132599999999988E-2</v>
      </c>
      <c r="H699">
        <f t="shared" si="20"/>
        <v>8.7155229495669752E-3</v>
      </c>
      <c r="J699">
        <f t="shared" si="21"/>
        <v>1.8775154789191779</v>
      </c>
    </row>
    <row r="700" spans="1:10" x14ac:dyDescent="0.3">
      <c r="A700">
        <v>8</v>
      </c>
      <c r="B700">
        <v>1986</v>
      </c>
      <c r="C700">
        <v>0.45798472000000001</v>
      </c>
      <c r="D700">
        <v>0.52811098098754805</v>
      </c>
      <c r="G700">
        <v>6.2557950000000029E-2</v>
      </c>
      <c r="H700">
        <f t="shared" si="20"/>
        <v>4.9176924800937022E-3</v>
      </c>
      <c r="J700">
        <f t="shared" si="21"/>
        <v>1.2565979593511014</v>
      </c>
    </row>
    <row r="701" spans="1:10" x14ac:dyDescent="0.3">
      <c r="A701">
        <v>8</v>
      </c>
      <c r="B701">
        <v>1987</v>
      </c>
      <c r="C701">
        <v>0.60532414999999995</v>
      </c>
      <c r="D701">
        <v>0.55090570449829102</v>
      </c>
      <c r="G701">
        <v>6.168169999999995E-2</v>
      </c>
      <c r="H701">
        <f t="shared" si="20"/>
        <v>2.9613672108224653E-3</v>
      </c>
      <c r="J701">
        <f t="shared" si="21"/>
        <v>0.7783583593359038</v>
      </c>
    </row>
    <row r="702" spans="1:10" x14ac:dyDescent="0.3">
      <c r="A702">
        <v>8</v>
      </c>
      <c r="B702">
        <v>1988</v>
      </c>
      <c r="C702">
        <v>0.64444950000000001</v>
      </c>
      <c r="D702">
        <v>0.57363271713256803</v>
      </c>
      <c r="G702">
        <v>7.0232859999999953E-2</v>
      </c>
      <c r="H702">
        <f t="shared" si="20"/>
        <v>5.015016735693008E-3</v>
      </c>
      <c r="J702">
        <f t="shared" si="21"/>
        <v>1.0166973198399822</v>
      </c>
    </row>
    <row r="703" spans="1:10" x14ac:dyDescent="0.3">
      <c r="A703">
        <v>8</v>
      </c>
      <c r="B703">
        <v>1989</v>
      </c>
      <c r="C703">
        <v>0.54154809999999998</v>
      </c>
      <c r="D703">
        <v>0.59616231918334905</v>
      </c>
      <c r="G703">
        <v>6.9503699999999946E-2</v>
      </c>
      <c r="H703">
        <f t="shared" si="20"/>
        <v>2.9827129370068946E-3</v>
      </c>
      <c r="J703">
        <f t="shared" si="21"/>
        <v>0.61744120460485497</v>
      </c>
    </row>
    <row r="704" spans="1:10" x14ac:dyDescent="0.3">
      <c r="A704">
        <v>8</v>
      </c>
      <c r="B704">
        <v>1990</v>
      </c>
      <c r="C704">
        <v>0.72288010000000003</v>
      </c>
      <c r="D704">
        <v>0.61836242675781194</v>
      </c>
      <c r="G704">
        <v>7.2027339999999995E-2</v>
      </c>
      <c r="H704">
        <f t="shared" si="20"/>
        <v>1.0923944019960798E-2</v>
      </c>
      <c r="J704">
        <f t="shared" si="21"/>
        <v>2.1056428654144894</v>
      </c>
    </row>
    <row r="705" spans="1:10" x14ac:dyDescent="0.3">
      <c r="A705">
        <v>8</v>
      </c>
      <c r="B705">
        <v>1991</v>
      </c>
      <c r="C705">
        <v>0.70119430000000005</v>
      </c>
      <c r="D705">
        <v>0.640122890472412</v>
      </c>
      <c r="G705">
        <v>6.9720759999999937E-2</v>
      </c>
      <c r="H705">
        <f t="shared" si="20"/>
        <v>3.7297170616863726E-3</v>
      </c>
      <c r="J705">
        <f t="shared" si="21"/>
        <v>0.76727608524838475</v>
      </c>
    </row>
    <row r="706" spans="1:10" x14ac:dyDescent="0.3">
      <c r="A706">
        <v>8</v>
      </c>
      <c r="B706">
        <v>1992</v>
      </c>
      <c r="C706">
        <v>0.48719456999999999</v>
      </c>
      <c r="D706">
        <v>0.66132259368896396</v>
      </c>
      <c r="G706">
        <v>6.8029430000000002E-2</v>
      </c>
      <c r="H706">
        <f t="shared" ref="H706:H769" si="22">(C706-D706)^2</f>
        <v>3.0320568633824395E-2</v>
      </c>
      <c r="J706">
        <f t="shared" si="21"/>
        <v>6.5515442332625549</v>
      </c>
    </row>
    <row r="707" spans="1:10" x14ac:dyDescent="0.3">
      <c r="A707">
        <v>8</v>
      </c>
      <c r="B707">
        <v>1993</v>
      </c>
      <c r="C707">
        <v>0.52800493999999998</v>
      </c>
      <c r="D707">
        <v>0.681873798370361</v>
      </c>
      <c r="G707">
        <v>7.4980899999999961E-2</v>
      </c>
      <c r="H707">
        <f t="shared" si="22"/>
        <v>2.3675625576198216E-2</v>
      </c>
      <c r="J707">
        <f t="shared" ref="J707:J770" si="23">H707/(G707^2)</f>
        <v>4.2111447056910833</v>
      </c>
    </row>
    <row r="708" spans="1:10" x14ac:dyDescent="0.3">
      <c r="A708">
        <v>8</v>
      </c>
      <c r="B708">
        <v>1994</v>
      </c>
      <c r="C708">
        <v>0.59584755</v>
      </c>
      <c r="D708">
        <v>0.70168876647949197</v>
      </c>
      <c r="G708">
        <v>7.0273669999999955E-2</v>
      </c>
      <c r="H708">
        <f t="shared" si="22"/>
        <v>1.1202363105858681E-2</v>
      </c>
      <c r="J708">
        <f t="shared" si="23"/>
        <v>2.2684247427892501</v>
      </c>
    </row>
    <row r="709" spans="1:10" x14ac:dyDescent="0.3">
      <c r="A709">
        <v>8</v>
      </c>
      <c r="B709">
        <v>1995</v>
      </c>
      <c r="C709">
        <v>0.73916389999999998</v>
      </c>
      <c r="D709">
        <v>0.72070455551147405</v>
      </c>
      <c r="G709">
        <v>6.6420759999999968E-2</v>
      </c>
      <c r="H709">
        <f t="shared" si="22"/>
        <v>3.4074739894607265E-4</v>
      </c>
      <c r="J709">
        <f t="shared" si="23"/>
        <v>7.7236905998221056E-2</v>
      </c>
    </row>
    <row r="710" spans="1:10" x14ac:dyDescent="0.3">
      <c r="A710">
        <v>8</v>
      </c>
      <c r="B710">
        <v>1996</v>
      </c>
      <c r="C710">
        <v>0.63898710000000003</v>
      </c>
      <c r="D710">
        <v>0.73887348175048795</v>
      </c>
      <c r="G710">
        <v>6.7018750000000016E-2</v>
      </c>
      <c r="H710">
        <f t="shared" si="22"/>
        <v>9.9772892592042053E-3</v>
      </c>
      <c r="J710">
        <f t="shared" si="23"/>
        <v>2.2213649585202271</v>
      </c>
    </row>
    <row r="711" spans="1:10" x14ac:dyDescent="0.3">
      <c r="A711">
        <v>8</v>
      </c>
      <c r="B711">
        <v>1997</v>
      </c>
      <c r="C711">
        <v>0.78460629999999998</v>
      </c>
      <c r="D711">
        <v>0.75617122650146396</v>
      </c>
      <c r="G711">
        <v>6.4435360000000053E-2</v>
      </c>
      <c r="H711">
        <f t="shared" si="22"/>
        <v>8.0855340486714572E-4</v>
      </c>
      <c r="J711">
        <f t="shared" si="23"/>
        <v>0.19474225374369283</v>
      </c>
    </row>
    <row r="712" spans="1:10" x14ac:dyDescent="0.3">
      <c r="A712">
        <v>8</v>
      </c>
      <c r="B712">
        <v>1998</v>
      </c>
      <c r="C712">
        <v>0.93963945000000004</v>
      </c>
      <c r="D712">
        <v>0.77260112762451105</v>
      </c>
      <c r="G712">
        <v>6.8545859999999958E-2</v>
      </c>
      <c r="H712">
        <f t="shared" si="22"/>
        <v>2.7901801142017787E-2</v>
      </c>
      <c r="J712">
        <f t="shared" si="23"/>
        <v>5.9384045449158025</v>
      </c>
    </row>
    <row r="713" spans="1:10" x14ac:dyDescent="0.3">
      <c r="A713">
        <v>8</v>
      </c>
      <c r="B713">
        <v>1999</v>
      </c>
      <c r="C713">
        <v>0.68678269999999997</v>
      </c>
      <c r="D713">
        <v>0.78819751739501898</v>
      </c>
      <c r="G713">
        <v>6.3300429999999963E-2</v>
      </c>
      <c r="H713">
        <f t="shared" si="22"/>
        <v>1.0284965187265051E-2</v>
      </c>
      <c r="J713">
        <f t="shared" si="23"/>
        <v>2.5667850767414269</v>
      </c>
    </row>
    <row r="714" spans="1:10" x14ac:dyDescent="0.3">
      <c r="A714">
        <v>8</v>
      </c>
      <c r="B714">
        <v>2000</v>
      </c>
      <c r="C714">
        <v>0.69338250000000001</v>
      </c>
      <c r="D714">
        <v>0.803022861480712</v>
      </c>
      <c r="G714">
        <v>6.5713839999999912E-2</v>
      </c>
      <c r="H714">
        <f t="shared" si="22"/>
        <v>1.2021008865621194E-2</v>
      </c>
      <c r="J714">
        <f t="shared" si="23"/>
        <v>2.7837307410636165</v>
      </c>
    </row>
    <row r="715" spans="1:10" x14ac:dyDescent="0.3">
      <c r="A715">
        <v>8</v>
      </c>
      <c r="B715">
        <v>2001</v>
      </c>
      <c r="C715">
        <v>0.8515781</v>
      </c>
      <c r="D715">
        <v>0.81717348098754805</v>
      </c>
      <c r="G715">
        <v>6.2424050000000064E-2</v>
      </c>
      <c r="H715">
        <f t="shared" si="22"/>
        <v>1.1836778093919705E-3</v>
      </c>
      <c r="J715">
        <f t="shared" si="23"/>
        <v>0.30375932730868271</v>
      </c>
    </row>
    <row r="716" spans="1:10" x14ac:dyDescent="0.3">
      <c r="A716">
        <v>8</v>
      </c>
      <c r="B716">
        <v>2002</v>
      </c>
      <c r="C716">
        <v>0.90576429999999997</v>
      </c>
      <c r="D716">
        <v>0.83078956604003895</v>
      </c>
      <c r="G716">
        <v>6.136929999999996E-2</v>
      </c>
      <c r="H716">
        <f t="shared" si="22"/>
        <v>5.6212107323669316E-3</v>
      </c>
      <c r="J716">
        <f t="shared" si="23"/>
        <v>1.4925453219184601</v>
      </c>
    </row>
    <row r="717" spans="1:10" x14ac:dyDescent="0.3">
      <c r="A717">
        <v>8</v>
      </c>
      <c r="B717">
        <v>2003</v>
      </c>
      <c r="C717">
        <v>0.90646789999999999</v>
      </c>
      <c r="D717">
        <v>0.84404611587524403</v>
      </c>
      <c r="G717">
        <v>6.5855100000000055E-2</v>
      </c>
      <c r="H717">
        <f t="shared" si="22"/>
        <v>3.8964791333176356E-3</v>
      </c>
      <c r="J717">
        <f t="shared" si="23"/>
        <v>0.89844920286559926</v>
      </c>
    </row>
    <row r="718" spans="1:10" x14ac:dyDescent="0.3">
      <c r="A718">
        <v>8</v>
      </c>
      <c r="B718">
        <v>2004</v>
      </c>
      <c r="C718">
        <v>0.82966846000000005</v>
      </c>
      <c r="D718">
        <v>0.85717344284057595</v>
      </c>
      <c r="G718">
        <v>6.6064800000000035E-2</v>
      </c>
      <c r="H718">
        <f t="shared" si="22"/>
        <v>7.5652408106037462E-4</v>
      </c>
      <c r="J718">
        <f t="shared" si="23"/>
        <v>0.17333350041252149</v>
      </c>
    </row>
    <row r="719" spans="1:10" x14ac:dyDescent="0.3">
      <c r="A719">
        <v>8</v>
      </c>
      <c r="B719">
        <v>2005</v>
      </c>
      <c r="C719">
        <v>0.96916026</v>
      </c>
      <c r="D719">
        <v>0.87044620513916005</v>
      </c>
      <c r="G719">
        <v>6.2314439999999971E-2</v>
      </c>
      <c r="H719">
        <f t="shared" si="22"/>
        <v>9.7444646270689189E-3</v>
      </c>
      <c r="J719">
        <f t="shared" si="23"/>
        <v>2.5094618077753479</v>
      </c>
    </row>
    <row r="720" spans="1:10" x14ac:dyDescent="0.3">
      <c r="A720">
        <v>8</v>
      </c>
      <c r="B720">
        <v>2006</v>
      </c>
      <c r="C720">
        <v>0.93485045</v>
      </c>
      <c r="D720">
        <v>0.88419532775878895</v>
      </c>
      <c r="G720">
        <v>6.1159370000000046E-2</v>
      </c>
      <c r="H720">
        <f t="shared" si="22"/>
        <v>2.5659414092720342E-3</v>
      </c>
      <c r="J720">
        <f t="shared" si="23"/>
        <v>0.68599465084589384</v>
      </c>
    </row>
    <row r="721" spans="1:11" x14ac:dyDescent="0.3">
      <c r="A721">
        <v>8</v>
      </c>
      <c r="B721">
        <v>2007</v>
      </c>
      <c r="C721">
        <v>0.95399909999999999</v>
      </c>
      <c r="D721">
        <v>0.89879941940307595</v>
      </c>
      <c r="G721">
        <v>6.0696299999999925E-2</v>
      </c>
      <c r="H721">
        <f t="shared" si="22"/>
        <v>3.047004738002432E-3</v>
      </c>
      <c r="J721">
        <f t="shared" si="23"/>
        <v>0.82708223810605974</v>
      </c>
    </row>
    <row r="722" spans="1:11" x14ac:dyDescent="0.3">
      <c r="A722">
        <v>8</v>
      </c>
      <c r="B722">
        <v>2008</v>
      </c>
      <c r="C722">
        <v>0.82794760000000001</v>
      </c>
      <c r="D722">
        <v>0.91471576690673795</v>
      </c>
      <c r="G722">
        <v>6.598499999999996E-2</v>
      </c>
      <c r="H722">
        <f t="shared" si="22"/>
        <v>7.5287147883555334E-3</v>
      </c>
      <c r="J722">
        <f t="shared" si="23"/>
        <v>1.7291409776020374</v>
      </c>
    </row>
    <row r="723" spans="1:11" x14ac:dyDescent="0.3">
      <c r="A723">
        <v>8</v>
      </c>
      <c r="B723">
        <v>2009</v>
      </c>
      <c r="C723">
        <v>0.95907940000000003</v>
      </c>
      <c r="D723">
        <v>0.93245506286621005</v>
      </c>
      <c r="G723">
        <v>6.3052039999999976E-2</v>
      </c>
      <c r="H723">
        <f t="shared" si="22"/>
        <v>7.0885532781370792E-4</v>
      </c>
      <c r="J723">
        <f t="shared" si="23"/>
        <v>0.17830327619689307</v>
      </c>
    </row>
    <row r="724" spans="1:11" x14ac:dyDescent="0.3">
      <c r="A724">
        <v>8</v>
      </c>
      <c r="B724">
        <v>2010</v>
      </c>
      <c r="C724">
        <v>1.0426692</v>
      </c>
      <c r="D724">
        <v>0.952606201171875</v>
      </c>
      <c r="G724">
        <v>6.2591000000000063E-2</v>
      </c>
      <c r="H724">
        <f t="shared" si="22"/>
        <v>8.1113437579148386E-3</v>
      </c>
      <c r="J724">
        <f t="shared" si="23"/>
        <v>2.0704704029480654</v>
      </c>
    </row>
    <row r="725" spans="1:11" x14ac:dyDescent="0.3">
      <c r="A725">
        <v>8</v>
      </c>
      <c r="B725">
        <v>2011</v>
      </c>
      <c r="C725">
        <v>0.89999549999999995</v>
      </c>
      <c r="D725">
        <v>0.97582626342773404</v>
      </c>
      <c r="G725">
        <v>6.339311000000003E-2</v>
      </c>
      <c r="H725">
        <f t="shared" si="22"/>
        <v>5.7503046820329747E-3</v>
      </c>
      <c r="J725">
        <f t="shared" si="23"/>
        <v>1.4308916188413965</v>
      </c>
    </row>
    <row r="726" spans="1:11" x14ac:dyDescent="0.3">
      <c r="A726">
        <v>8</v>
      </c>
      <c r="B726">
        <v>2012</v>
      </c>
      <c r="C726">
        <v>0.93990479999999998</v>
      </c>
      <c r="D726">
        <v>1.0028548240661599</v>
      </c>
      <c r="G726">
        <v>6.5503599999999995E-2</v>
      </c>
      <c r="H726">
        <f t="shared" si="22"/>
        <v>3.9627055299301115E-3</v>
      </c>
      <c r="J726">
        <f t="shared" si="23"/>
        <v>0.92355223372238249</v>
      </c>
    </row>
    <row r="727" spans="1:11" x14ac:dyDescent="0.3">
      <c r="A727">
        <v>8</v>
      </c>
      <c r="B727">
        <v>2013</v>
      </c>
      <c r="C727">
        <v>0.98587309999999995</v>
      </c>
      <c r="D727">
        <v>1.03451824188232</v>
      </c>
      <c r="G727">
        <v>7.0183000000000106E-2</v>
      </c>
      <c r="H727">
        <f t="shared" si="22"/>
        <v>2.3663498287510485E-3</v>
      </c>
      <c r="J727">
        <f t="shared" si="23"/>
        <v>0.48041337744029056</v>
      </c>
    </row>
    <row r="728" spans="1:11" x14ac:dyDescent="0.3">
      <c r="A728">
        <v>8</v>
      </c>
      <c r="B728">
        <v>2014</v>
      </c>
      <c r="C728">
        <v>1.0351694</v>
      </c>
      <c r="D728">
        <v>1.0717291831970199</v>
      </c>
      <c r="G728">
        <v>6.7933499999999869E-2</v>
      </c>
      <c r="H728">
        <f t="shared" si="22"/>
        <v>1.3366177474130995E-3</v>
      </c>
      <c r="J728">
        <f t="shared" si="23"/>
        <v>0.28962713113830857</v>
      </c>
    </row>
    <row r="729" spans="1:11" x14ac:dyDescent="0.3">
      <c r="A729">
        <v>8</v>
      </c>
      <c r="B729">
        <v>2015</v>
      </c>
      <c r="C729">
        <v>1.1874121</v>
      </c>
      <c r="D729">
        <v>1.1154990196228001</v>
      </c>
      <c r="G729">
        <v>6.7654600000000009E-2</v>
      </c>
      <c r="H729">
        <f t="shared" si="22"/>
        <v>5.1714911293376138E-3</v>
      </c>
      <c r="J729">
        <f t="shared" si="23"/>
        <v>1.1298508657715829</v>
      </c>
    </row>
    <row r="730" spans="1:11" x14ac:dyDescent="0.3">
      <c r="A730">
        <v>9</v>
      </c>
      <c r="B730">
        <v>1925</v>
      </c>
      <c r="C730">
        <v>8.0155770000000001E-2</v>
      </c>
      <c r="D730">
        <v>0.101991415023803</v>
      </c>
      <c r="G730">
        <v>0.22561889600000001</v>
      </c>
      <c r="H730">
        <f t="shared" si="22"/>
        <v>4.7679539360553279E-4</v>
      </c>
      <c r="J730">
        <f t="shared" si="23"/>
        <v>9.3665813928245408E-3</v>
      </c>
      <c r="K730">
        <f>SUM(J730:J820)</f>
        <v>102.94048891665184</v>
      </c>
    </row>
    <row r="731" spans="1:11" x14ac:dyDescent="0.3">
      <c r="A731">
        <v>9</v>
      </c>
      <c r="B731">
        <v>1926</v>
      </c>
      <c r="C731">
        <v>0.23974274000000001</v>
      </c>
      <c r="D731">
        <v>0.110045671463012</v>
      </c>
      <c r="G731">
        <v>0.21658418000000002</v>
      </c>
      <c r="H731">
        <f t="shared" si="22"/>
        <v>1.6821329587088166E-2</v>
      </c>
      <c r="J731">
        <f t="shared" si="23"/>
        <v>0.35859716998097929</v>
      </c>
    </row>
    <row r="732" spans="1:11" x14ac:dyDescent="0.3">
      <c r="A732">
        <v>9</v>
      </c>
      <c r="B732">
        <v>1927</v>
      </c>
      <c r="C732">
        <v>0.13318415</v>
      </c>
      <c r="D732">
        <v>0.121208667755126</v>
      </c>
      <c r="G732">
        <v>0.20616828800000001</v>
      </c>
      <c r="H732">
        <f t="shared" si="22"/>
        <v>1.4341217499729255E-4</v>
      </c>
      <c r="J732">
        <f t="shared" si="23"/>
        <v>3.3739783630455517E-3</v>
      </c>
    </row>
    <row r="733" spans="1:11" x14ac:dyDescent="0.3">
      <c r="A733">
        <v>9</v>
      </c>
      <c r="B733">
        <v>1928</v>
      </c>
      <c r="C733">
        <v>0.15583193000000001</v>
      </c>
      <c r="D733">
        <v>0.13474798202514601</v>
      </c>
      <c r="G733">
        <v>0.22194212700000002</v>
      </c>
      <c r="H733">
        <f t="shared" si="22"/>
        <v>4.4453286220634986E-4</v>
      </c>
      <c r="J733">
        <f t="shared" si="23"/>
        <v>9.0245256612800397E-3</v>
      </c>
    </row>
    <row r="734" spans="1:11" x14ac:dyDescent="0.3">
      <c r="A734">
        <v>9</v>
      </c>
      <c r="B734">
        <v>1929</v>
      </c>
      <c r="C734">
        <v>-3.0145284000000001E-2</v>
      </c>
      <c r="D734">
        <v>0.15000939369201599</v>
      </c>
      <c r="G734">
        <v>0.22083399999999997</v>
      </c>
      <c r="H734">
        <f t="shared" si="22"/>
        <v>3.2455707894314165E-2</v>
      </c>
      <c r="J734">
        <f t="shared" si="23"/>
        <v>0.66551708349082339</v>
      </c>
    </row>
    <row r="735" spans="1:11" x14ac:dyDescent="0.3">
      <c r="A735">
        <v>9</v>
      </c>
      <c r="B735">
        <v>1930</v>
      </c>
      <c r="C735">
        <v>0.18549231999999999</v>
      </c>
      <c r="D735">
        <v>0.16640782356262199</v>
      </c>
      <c r="G735">
        <v>0.22721205999999999</v>
      </c>
      <c r="H735">
        <f t="shared" si="22"/>
        <v>3.6421800426829365E-4</v>
      </c>
      <c r="J735">
        <f t="shared" si="23"/>
        <v>7.05502654105899E-3</v>
      </c>
    </row>
    <row r="736" spans="1:11" x14ac:dyDescent="0.3">
      <c r="A736">
        <v>9</v>
      </c>
      <c r="B736">
        <v>1931</v>
      </c>
      <c r="C736">
        <v>0.25890007999999998</v>
      </c>
      <c r="D736">
        <v>0.183425188064575</v>
      </c>
      <c r="G736">
        <v>0.21858786000000002</v>
      </c>
      <c r="H736">
        <f t="shared" si="22"/>
        <v>5.6964593126640779E-3</v>
      </c>
      <c r="J736">
        <f t="shared" si="23"/>
        <v>0.1192210447098687</v>
      </c>
    </row>
    <row r="737" spans="1:10" x14ac:dyDescent="0.3">
      <c r="A737">
        <v>9</v>
      </c>
      <c r="B737">
        <v>1932</v>
      </c>
      <c r="C737">
        <v>0.21683604000000001</v>
      </c>
      <c r="D737">
        <v>0.20061111450195299</v>
      </c>
      <c r="G737">
        <v>0.21298692999999999</v>
      </c>
      <c r="H737">
        <f t="shared" si="22"/>
        <v>2.6324820741717637E-4</v>
      </c>
      <c r="J737">
        <f t="shared" si="23"/>
        <v>5.8030927946833236E-3</v>
      </c>
    </row>
    <row r="738" spans="1:10" x14ac:dyDescent="0.3">
      <c r="A738">
        <v>9</v>
      </c>
      <c r="B738">
        <v>1933</v>
      </c>
      <c r="C738">
        <v>3.9953324999999998E-2</v>
      </c>
      <c r="D738">
        <v>0.21757459640502899</v>
      </c>
      <c r="G738">
        <v>0.20951196</v>
      </c>
      <c r="H738">
        <f t="shared" si="22"/>
        <v>3.1549316055538963E-2</v>
      </c>
      <c r="J738">
        <f>H738/(G738^2)</f>
        <v>0.71874081760742536</v>
      </c>
    </row>
    <row r="739" spans="1:10" x14ac:dyDescent="0.3">
      <c r="A739">
        <v>9</v>
      </c>
      <c r="B739">
        <v>1934</v>
      </c>
      <c r="C739">
        <v>0.18796089999999999</v>
      </c>
      <c r="D739">
        <v>0.233977556228637</v>
      </c>
      <c r="G739">
        <v>0.19933419999999999</v>
      </c>
      <c r="H739">
        <f t="shared" si="22"/>
        <v>2.1175326504645577E-3</v>
      </c>
      <c r="J739">
        <f t="shared" si="23"/>
        <v>5.3292547441626044E-2</v>
      </c>
    </row>
    <row r="740" spans="1:10" x14ac:dyDescent="0.3">
      <c r="A740">
        <v>9</v>
      </c>
      <c r="B740">
        <v>1935</v>
      </c>
      <c r="C740">
        <v>0.15623851</v>
      </c>
      <c r="D740">
        <v>0.249539375305175</v>
      </c>
      <c r="G740">
        <v>0.19487621700000002</v>
      </c>
      <c r="H740">
        <f t="shared" si="22"/>
        <v>8.7050514666944089E-3</v>
      </c>
      <c r="J740">
        <f t="shared" si="23"/>
        <v>0.22922060918456999</v>
      </c>
    </row>
    <row r="741" spans="1:10" x14ac:dyDescent="0.3">
      <c r="A741">
        <v>9</v>
      </c>
      <c r="B741">
        <v>1936</v>
      </c>
      <c r="C741">
        <v>0.1927768</v>
      </c>
      <c r="D741">
        <v>0.26402640342712402</v>
      </c>
      <c r="G741">
        <v>0.18799661000000001</v>
      </c>
      <c r="H741">
        <f t="shared" si="22"/>
        <v>5.0765059885224438E-3</v>
      </c>
      <c r="J741">
        <f t="shared" si="23"/>
        <v>0.14363651742084435</v>
      </c>
    </row>
    <row r="742" spans="1:10" x14ac:dyDescent="0.3">
      <c r="A742">
        <v>9</v>
      </c>
      <c r="B742">
        <v>1937</v>
      </c>
      <c r="C742">
        <v>0.34309879999999998</v>
      </c>
      <c r="D742">
        <v>0.27725148200988697</v>
      </c>
      <c r="G742">
        <v>0.20111965000000001</v>
      </c>
      <c r="H742">
        <f t="shared" si="22"/>
        <v>4.33586928649106E-3</v>
      </c>
      <c r="J742">
        <f t="shared" si="23"/>
        <v>0.10719318419780743</v>
      </c>
    </row>
    <row r="743" spans="1:10" x14ac:dyDescent="0.3">
      <c r="A743">
        <v>9</v>
      </c>
      <c r="B743">
        <v>1938</v>
      </c>
      <c r="C743">
        <v>0.35009699999999999</v>
      </c>
      <c r="D743">
        <v>0.28907060623168901</v>
      </c>
      <c r="G743">
        <v>0.19620601999999998</v>
      </c>
      <c r="H743">
        <f t="shared" si="22"/>
        <v>3.7242207363649455E-3</v>
      </c>
      <c r="J743">
        <f t="shared" si="23"/>
        <v>9.6741041213429468E-2</v>
      </c>
    </row>
    <row r="744" spans="1:10" x14ac:dyDescent="0.3">
      <c r="A744">
        <v>9</v>
      </c>
      <c r="B744">
        <v>1939</v>
      </c>
      <c r="C744">
        <v>0.32150054</v>
      </c>
      <c r="D744">
        <v>0.29937744140625</v>
      </c>
      <c r="G744">
        <v>0.21181498999999998</v>
      </c>
      <c r="H744">
        <f t="shared" si="22"/>
        <v>4.8943149138878331E-4</v>
      </c>
      <c r="J744">
        <f t="shared" si="23"/>
        <v>1.0908838856505669E-2</v>
      </c>
    </row>
    <row r="745" spans="1:10" x14ac:dyDescent="0.3">
      <c r="A745">
        <v>9</v>
      </c>
      <c r="B745">
        <v>1940</v>
      </c>
      <c r="C745">
        <v>0.43823355000000003</v>
      </c>
      <c r="D745">
        <v>0.30810499191284102</v>
      </c>
      <c r="G745">
        <v>0.23577104999999998</v>
      </c>
      <c r="H745">
        <f t="shared" si="22"/>
        <v>1.6933441629843116E-2</v>
      </c>
      <c r="J745">
        <f t="shared" si="23"/>
        <v>0.30462411455382521</v>
      </c>
    </row>
    <row r="746" spans="1:10" x14ac:dyDescent="0.3">
      <c r="A746">
        <v>9</v>
      </c>
      <c r="B746">
        <v>1941</v>
      </c>
      <c r="C746">
        <v>0.40042704000000001</v>
      </c>
      <c r="D746">
        <v>0.315217494964599</v>
      </c>
      <c r="G746">
        <v>0.40076646999999999</v>
      </c>
      <c r="H746">
        <f t="shared" si="22"/>
        <v>7.2606665651400336E-3</v>
      </c>
      <c r="J746">
        <f t="shared" si="23"/>
        <v>4.5205755770819589E-2</v>
      </c>
    </row>
    <row r="747" spans="1:10" x14ac:dyDescent="0.3">
      <c r="A747">
        <v>9</v>
      </c>
      <c r="B747">
        <v>1942</v>
      </c>
      <c r="C747">
        <v>0.36370382000000001</v>
      </c>
      <c r="D747">
        <v>0.32071018218994102</v>
      </c>
      <c r="G747">
        <v>0.39323698000000007</v>
      </c>
      <c r="H747">
        <f t="shared" si="22"/>
        <v>1.8484528921425343E-3</v>
      </c>
      <c r="J747">
        <f t="shared" si="23"/>
        <v>1.1953626525824875E-2</v>
      </c>
    </row>
    <row r="748" spans="1:10" x14ac:dyDescent="0.3">
      <c r="A748">
        <v>9</v>
      </c>
      <c r="B748">
        <v>1943</v>
      </c>
      <c r="C748">
        <v>0.36871934000000001</v>
      </c>
      <c r="D748">
        <v>0.32460594177245999</v>
      </c>
      <c r="G748">
        <v>0.41200937000000004</v>
      </c>
      <c r="H748">
        <f t="shared" si="22"/>
        <v>1.9459919031815304E-3</v>
      </c>
      <c r="J748">
        <f t="shared" si="23"/>
        <v>1.146375360489393E-2</v>
      </c>
    </row>
    <row r="749" spans="1:10" x14ac:dyDescent="0.3">
      <c r="A749">
        <v>9</v>
      </c>
      <c r="B749">
        <v>1944</v>
      </c>
      <c r="C749">
        <v>0.50640289999999999</v>
      </c>
      <c r="D749">
        <v>0.32695031166076599</v>
      </c>
      <c r="G749">
        <v>0.39719992000000004</v>
      </c>
      <c r="H749">
        <f t="shared" si="22"/>
        <v>3.2203231461650585E-2</v>
      </c>
      <c r="J749">
        <f t="shared" si="23"/>
        <v>0.20411792690925959</v>
      </c>
    </row>
    <row r="750" spans="1:10" x14ac:dyDescent="0.3">
      <c r="A750">
        <v>9</v>
      </c>
      <c r="B750">
        <v>1945</v>
      </c>
      <c r="C750">
        <v>0.40538610000000003</v>
      </c>
      <c r="D750">
        <v>0.32781410217285101</v>
      </c>
      <c r="G750">
        <v>0.40074251999999999</v>
      </c>
      <c r="H750">
        <f t="shared" si="22"/>
        <v>6.0174148468952124E-3</v>
      </c>
      <c r="J750">
        <f t="shared" si="23"/>
        <v>3.7469604026562645E-2</v>
      </c>
    </row>
    <row r="751" spans="1:10" x14ac:dyDescent="0.3">
      <c r="A751">
        <v>9</v>
      </c>
      <c r="B751">
        <v>1946</v>
      </c>
      <c r="C751">
        <v>0.24348313999999999</v>
      </c>
      <c r="D751">
        <v>0.327284336090087</v>
      </c>
      <c r="G751">
        <v>0.29427287000000002</v>
      </c>
      <c r="H751">
        <f t="shared" si="22"/>
        <v>7.0226404661292152E-3</v>
      </c>
      <c r="J751">
        <f t="shared" si="23"/>
        <v>8.1096102966658312E-2</v>
      </c>
    </row>
    <row r="752" spans="1:10" x14ac:dyDescent="0.3">
      <c r="A752">
        <v>9</v>
      </c>
      <c r="B752">
        <v>1947</v>
      </c>
      <c r="C752">
        <v>0.27109214999999998</v>
      </c>
      <c r="D752">
        <v>0.325467109680175</v>
      </c>
      <c r="G752">
        <v>0.28116972000000001</v>
      </c>
      <c r="H752">
        <f t="shared" si="22"/>
        <v>2.9566362402206601E-3</v>
      </c>
      <c r="J752">
        <f t="shared" si="23"/>
        <v>3.7399069679277773E-2</v>
      </c>
    </row>
    <row r="753" spans="1:10" x14ac:dyDescent="0.3">
      <c r="A753">
        <v>9</v>
      </c>
      <c r="B753">
        <v>1948</v>
      </c>
      <c r="C753">
        <v>0.23763648000000001</v>
      </c>
      <c r="D753">
        <v>0.32248091697692799</v>
      </c>
      <c r="G753">
        <v>0.26894422000000001</v>
      </c>
      <c r="H753">
        <f t="shared" si="22"/>
        <v>7.1985784859319038E-3</v>
      </c>
      <c r="J753">
        <f t="shared" si="23"/>
        <v>9.9522737632207661E-2</v>
      </c>
    </row>
    <row r="754" spans="1:10" x14ac:dyDescent="0.3">
      <c r="A754">
        <v>9</v>
      </c>
      <c r="B754">
        <v>1949</v>
      </c>
      <c r="C754">
        <v>0.21849552</v>
      </c>
      <c r="D754">
        <v>0.31845855712890597</v>
      </c>
      <c r="G754">
        <v>0.22055050999999998</v>
      </c>
      <c r="H754">
        <f t="shared" si="22"/>
        <v>9.9926087920350348E-3</v>
      </c>
      <c r="J754">
        <f t="shared" si="23"/>
        <v>0.20542947321134483</v>
      </c>
    </row>
    <row r="755" spans="1:10" x14ac:dyDescent="0.3">
      <c r="A755">
        <v>9</v>
      </c>
      <c r="B755">
        <v>1950</v>
      </c>
      <c r="C755">
        <v>0.13567593999999999</v>
      </c>
      <c r="D755">
        <v>0.31354117393493602</v>
      </c>
      <c r="G755">
        <v>0.21207035199999999</v>
      </c>
      <c r="H755">
        <f t="shared" si="22"/>
        <v>3.1636041442729516E-2</v>
      </c>
      <c r="J755">
        <f t="shared" si="23"/>
        <v>0.70343216244070417</v>
      </c>
    </row>
    <row r="756" spans="1:10" x14ac:dyDescent="0.3">
      <c r="A756">
        <v>9</v>
      </c>
      <c r="B756">
        <v>1951</v>
      </c>
      <c r="C756">
        <v>0.30114380000000002</v>
      </c>
      <c r="D756">
        <v>0.30787849426269498</v>
      </c>
      <c r="G756">
        <v>0.17839253999999999</v>
      </c>
      <c r="H756">
        <f t="shared" si="22"/>
        <v>4.5356106811976443E-5</v>
      </c>
      <c r="J756">
        <f t="shared" si="23"/>
        <v>1.4252215848919675E-3</v>
      </c>
    </row>
    <row r="757" spans="1:10" x14ac:dyDescent="0.3">
      <c r="A757">
        <v>9</v>
      </c>
      <c r="B757">
        <v>1952</v>
      </c>
      <c r="C757">
        <v>0.3776523</v>
      </c>
      <c r="D757">
        <v>0.30162715911865201</v>
      </c>
      <c r="G757">
        <v>0.19658106999999997</v>
      </c>
      <c r="H757">
        <f t="shared" si="22"/>
        <v>5.7798220460288088E-3</v>
      </c>
      <c r="J757">
        <f t="shared" si="23"/>
        <v>0.14956537973717615</v>
      </c>
    </row>
    <row r="758" spans="1:10" x14ac:dyDescent="0.3">
      <c r="A758">
        <v>9</v>
      </c>
      <c r="B758">
        <v>1953</v>
      </c>
      <c r="C758">
        <v>0.4399285</v>
      </c>
      <c r="D758">
        <v>0.294942617416381</v>
      </c>
      <c r="G758">
        <v>0.19632071000000001</v>
      </c>
      <c r="H758">
        <f t="shared" si="22"/>
        <v>2.1020906148550955E-2</v>
      </c>
      <c r="J758">
        <f t="shared" si="23"/>
        <v>0.54540510821108745</v>
      </c>
    </row>
    <row r="759" spans="1:10" x14ac:dyDescent="0.3">
      <c r="A759">
        <v>9</v>
      </c>
      <c r="B759">
        <v>1954</v>
      </c>
      <c r="C759">
        <v>0.24554751999999999</v>
      </c>
      <c r="D759">
        <v>0.28798866271972601</v>
      </c>
      <c r="G759">
        <v>0.18350500999999997</v>
      </c>
      <c r="H759">
        <f t="shared" si="22"/>
        <v>1.8012505953561525E-3</v>
      </c>
      <c r="J759">
        <f t="shared" si="23"/>
        <v>5.3490700569968276E-2</v>
      </c>
    </row>
    <row r="760" spans="1:10" x14ac:dyDescent="0.3">
      <c r="A760">
        <v>9</v>
      </c>
      <c r="B760">
        <v>1955</v>
      </c>
      <c r="C760">
        <v>0.16498779999999999</v>
      </c>
      <c r="D760">
        <v>0.28092432022094699</v>
      </c>
      <c r="G760">
        <v>0.17424004999999998</v>
      </c>
      <c r="H760">
        <f t="shared" si="22"/>
        <v>1.3441276720942053E-2</v>
      </c>
      <c r="J760">
        <f t="shared" si="23"/>
        <v>0.4427357054768119</v>
      </c>
    </row>
    <row r="761" spans="1:10" x14ac:dyDescent="0.3">
      <c r="A761">
        <v>9</v>
      </c>
      <c r="B761">
        <v>1956</v>
      </c>
      <c r="C761">
        <v>9.9132129999999999E-2</v>
      </c>
      <c r="D761">
        <v>0.27391171455383301</v>
      </c>
      <c r="G761">
        <v>0.15192007599999999</v>
      </c>
      <c r="H761">
        <f t="shared" si="22"/>
        <v>3.0547903176810467E-2</v>
      </c>
      <c r="J761">
        <f t="shared" si="23"/>
        <v>1.3235826554750727</v>
      </c>
    </row>
    <row r="762" spans="1:10" x14ac:dyDescent="0.3">
      <c r="A762">
        <v>9</v>
      </c>
      <c r="B762">
        <v>1957</v>
      </c>
      <c r="C762">
        <v>0.32696282999999998</v>
      </c>
      <c r="D762">
        <v>0.26710557937621998</v>
      </c>
      <c r="G762">
        <v>0.13046738999999996</v>
      </c>
      <c r="H762">
        <f t="shared" si="22"/>
        <v>3.5828904522380114E-3</v>
      </c>
      <c r="J762">
        <f t="shared" si="23"/>
        <v>0.21048908531637581</v>
      </c>
    </row>
    <row r="763" spans="1:10" x14ac:dyDescent="0.3">
      <c r="A763">
        <v>9</v>
      </c>
      <c r="B763">
        <v>1958</v>
      </c>
      <c r="C763">
        <v>0.3446652</v>
      </c>
      <c r="D763">
        <v>0.26065945625305098</v>
      </c>
      <c r="G763">
        <v>0.13088402999999998</v>
      </c>
      <c r="H763">
        <f t="shared" si="22"/>
        <v>7.0569649824780648E-3</v>
      </c>
      <c r="J763">
        <f t="shared" si="23"/>
        <v>0.41195013067930125</v>
      </c>
    </row>
    <row r="764" spans="1:10" x14ac:dyDescent="0.3">
      <c r="A764">
        <v>9</v>
      </c>
      <c r="B764">
        <v>1959</v>
      </c>
      <c r="C764">
        <v>0.31429294000000002</v>
      </c>
      <c r="D764">
        <v>0.25471973419189398</v>
      </c>
      <c r="G764">
        <v>0.12471783000000003</v>
      </c>
      <c r="H764">
        <f t="shared" si="22"/>
        <v>3.5489668502549599E-3</v>
      </c>
      <c r="J764">
        <f t="shared" si="23"/>
        <v>0.22816280696083766</v>
      </c>
    </row>
    <row r="765" spans="1:10" x14ac:dyDescent="0.3">
      <c r="A765">
        <v>9</v>
      </c>
      <c r="B765">
        <v>1960</v>
      </c>
      <c r="C765">
        <v>0.24683817</v>
      </c>
      <c r="D765">
        <v>0.24942350387573201</v>
      </c>
      <c r="G765">
        <v>0.11735596999999998</v>
      </c>
      <c r="H765">
        <f t="shared" si="22"/>
        <v>6.6839512490074958E-6</v>
      </c>
      <c r="J765">
        <f t="shared" si="23"/>
        <v>4.8531408829720693E-4</v>
      </c>
    </row>
    <row r="766" spans="1:10" x14ac:dyDescent="0.3">
      <c r="A766">
        <v>9</v>
      </c>
      <c r="B766">
        <v>1961</v>
      </c>
      <c r="C766">
        <v>0.34229797000000001</v>
      </c>
      <c r="D766">
        <v>0.244905710220336</v>
      </c>
      <c r="G766">
        <v>0.10156016000000001</v>
      </c>
      <c r="H766">
        <f t="shared" si="22"/>
        <v>9.4852522649895594E-3</v>
      </c>
      <c r="J766">
        <f t="shared" si="23"/>
        <v>0.91960671291572738</v>
      </c>
    </row>
    <row r="767" spans="1:10" x14ac:dyDescent="0.3">
      <c r="A767">
        <v>9</v>
      </c>
      <c r="B767">
        <v>1962</v>
      </c>
      <c r="C767">
        <v>0.29825502999999998</v>
      </c>
      <c r="D767">
        <v>0.241287231445312</v>
      </c>
      <c r="G767">
        <v>0.10653303000000003</v>
      </c>
      <c r="H767">
        <f t="shared" si="22"/>
        <v>3.2453300721675096E-3</v>
      </c>
      <c r="J767">
        <f t="shared" si="23"/>
        <v>0.28595014123628143</v>
      </c>
    </row>
    <row r="768" spans="1:10" x14ac:dyDescent="0.3">
      <c r="A768">
        <v>9</v>
      </c>
      <c r="B768">
        <v>1963</v>
      </c>
      <c r="C768">
        <v>0.32548714000000001</v>
      </c>
      <c r="D768">
        <v>0.238680124282836</v>
      </c>
      <c r="G768">
        <v>0.10753833000000002</v>
      </c>
      <c r="H768">
        <f t="shared" si="22"/>
        <v>7.5354579777199594E-3</v>
      </c>
      <c r="J768">
        <f t="shared" si="23"/>
        <v>0.65160300206660282</v>
      </c>
    </row>
    <row r="769" spans="1:10" x14ac:dyDescent="0.3">
      <c r="A769">
        <v>9</v>
      </c>
      <c r="B769">
        <v>1964</v>
      </c>
      <c r="C769">
        <v>5.6436214999999998E-2</v>
      </c>
      <c r="D769">
        <v>0.23718523979187001</v>
      </c>
      <c r="G769">
        <v>8.726594E-2</v>
      </c>
      <c r="H769">
        <f t="shared" si="22"/>
        <v>3.2670209963212037E-2</v>
      </c>
      <c r="J769">
        <f t="shared" si="23"/>
        <v>4.2900502911594156</v>
      </c>
    </row>
    <row r="770" spans="1:10" x14ac:dyDescent="0.3">
      <c r="A770">
        <v>9</v>
      </c>
      <c r="B770">
        <v>1965</v>
      </c>
      <c r="C770">
        <v>0.15787726999999999</v>
      </c>
      <c r="D770">
        <v>0.23689222335815399</v>
      </c>
      <c r="G770">
        <v>9.838044E-2</v>
      </c>
      <c r="H770">
        <f t="shared" ref="H770:H820" si="24">(C770-D770)^2</f>
        <v>6.243362854191253E-3</v>
      </c>
      <c r="J770">
        <f t="shared" si="23"/>
        <v>0.64506140028149828</v>
      </c>
    </row>
    <row r="771" spans="1:10" x14ac:dyDescent="0.3">
      <c r="A771">
        <v>9</v>
      </c>
      <c r="B771">
        <v>1966</v>
      </c>
      <c r="C771">
        <v>0.21340013999999999</v>
      </c>
      <c r="D771">
        <v>0.237879037857055</v>
      </c>
      <c r="G771">
        <v>9.9023140000000037E-2</v>
      </c>
      <c r="H771">
        <f t="shared" si="24"/>
        <v>5.9921644029613231E-4</v>
      </c>
      <c r="J771">
        <f t="shared" ref="J771:J820" si="25">H771/(G771^2)</f>
        <v>6.1109725530321998E-2</v>
      </c>
    </row>
    <row r="772" spans="1:10" x14ac:dyDescent="0.3">
      <c r="A772">
        <v>9</v>
      </c>
      <c r="B772">
        <v>1967</v>
      </c>
      <c r="C772">
        <v>0.24475846000000001</v>
      </c>
      <c r="D772">
        <v>0.240208148956298</v>
      </c>
      <c r="G772">
        <v>8.6234999999999978E-2</v>
      </c>
      <c r="H772">
        <f t="shared" si="24"/>
        <v>2.0705330594436526E-5</v>
      </c>
      <c r="J772">
        <f t="shared" si="25"/>
        <v>2.7842936294373974E-3</v>
      </c>
    </row>
    <row r="773" spans="1:10" x14ac:dyDescent="0.3">
      <c r="A773">
        <v>9</v>
      </c>
      <c r="B773">
        <v>1968</v>
      </c>
      <c r="C773">
        <v>0.19365019</v>
      </c>
      <c r="D773">
        <v>0.243932485580444</v>
      </c>
      <c r="G773">
        <v>8.9255870000000015E-2</v>
      </c>
      <c r="H773">
        <f t="shared" si="24"/>
        <v>2.5283092488391384E-3</v>
      </c>
      <c r="J773">
        <f t="shared" si="25"/>
        <v>0.31736323784917658</v>
      </c>
    </row>
    <row r="774" spans="1:10" x14ac:dyDescent="0.3">
      <c r="A774">
        <v>9</v>
      </c>
      <c r="B774">
        <v>1969</v>
      </c>
      <c r="C774">
        <v>0.33091152000000001</v>
      </c>
      <c r="D774">
        <v>0.249088048934936</v>
      </c>
      <c r="G774">
        <v>8.1010250000000006E-2</v>
      </c>
      <c r="H774">
        <f t="shared" si="24"/>
        <v>6.6950804171353687E-3</v>
      </c>
      <c r="J774">
        <f t="shared" si="25"/>
        <v>1.0201777632642952</v>
      </c>
    </row>
    <row r="775" spans="1:10" x14ac:dyDescent="0.3">
      <c r="A775">
        <v>9</v>
      </c>
      <c r="B775">
        <v>1970</v>
      </c>
      <c r="C775">
        <v>0.27723365999999999</v>
      </c>
      <c r="D775">
        <v>0.25570034980773898</v>
      </c>
      <c r="G775">
        <v>8.1977119999999987E-2</v>
      </c>
      <c r="H775">
        <f t="shared" si="24"/>
        <v>4.63683447836132E-4</v>
      </c>
      <c r="J775">
        <f t="shared" si="25"/>
        <v>6.8997964628006697E-2</v>
      </c>
    </row>
    <row r="776" spans="1:10" x14ac:dyDescent="0.3">
      <c r="A776">
        <v>9</v>
      </c>
      <c r="B776">
        <v>1971</v>
      </c>
      <c r="C776">
        <v>0.15640870000000001</v>
      </c>
      <c r="D776">
        <v>0.26377797126769997</v>
      </c>
      <c r="G776">
        <v>7.7166373999999996E-2</v>
      </c>
      <c r="H776">
        <f t="shared" si="24"/>
        <v>1.1528160412556941E-2</v>
      </c>
      <c r="J776">
        <f t="shared" si="25"/>
        <v>1.9359931840863798</v>
      </c>
    </row>
    <row r="777" spans="1:10" x14ac:dyDescent="0.3">
      <c r="A777">
        <v>9</v>
      </c>
      <c r="B777">
        <v>1972</v>
      </c>
      <c r="C777">
        <v>0.26850644000000001</v>
      </c>
      <c r="D777">
        <v>0.27331638336181602</v>
      </c>
      <c r="G777">
        <v>7.5784360000000023E-2</v>
      </c>
      <c r="H777">
        <f t="shared" si="24"/>
        <v>2.3135555143877849E-5</v>
      </c>
      <c r="J777">
        <f t="shared" si="25"/>
        <v>4.028290204620112E-3</v>
      </c>
    </row>
    <row r="778" spans="1:10" x14ac:dyDescent="0.3">
      <c r="A778">
        <v>9</v>
      </c>
      <c r="B778">
        <v>1973</v>
      </c>
      <c r="C778">
        <v>0.4122479</v>
      </c>
      <c r="D778">
        <v>0.28429913520812899</v>
      </c>
      <c r="G778">
        <v>7.2942280000000026E-2</v>
      </c>
      <c r="H778">
        <f t="shared" si="24"/>
        <v>1.6370886411765529E-2</v>
      </c>
      <c r="J778">
        <f t="shared" si="25"/>
        <v>3.0769010273884221</v>
      </c>
    </row>
    <row r="779" spans="1:10" x14ac:dyDescent="0.3">
      <c r="A779">
        <v>9</v>
      </c>
      <c r="B779">
        <v>1974</v>
      </c>
      <c r="C779">
        <v>0.18977118000000001</v>
      </c>
      <c r="D779">
        <v>0.29669284820556602</v>
      </c>
      <c r="G779">
        <v>7.539816000000002E-2</v>
      </c>
      <c r="H779">
        <f t="shared" si="24"/>
        <v>1.1432243131861145E-2</v>
      </c>
      <c r="J779">
        <f t="shared" si="25"/>
        <v>2.0109902128575228</v>
      </c>
    </row>
    <row r="780" spans="1:10" x14ac:dyDescent="0.3">
      <c r="A780">
        <v>9</v>
      </c>
      <c r="B780">
        <v>1975</v>
      </c>
      <c r="C780">
        <v>0.25154352000000002</v>
      </c>
      <c r="D780">
        <v>0.31045484542846602</v>
      </c>
      <c r="G780">
        <v>8.110176999999999E-2</v>
      </c>
      <c r="H780">
        <f t="shared" si="24"/>
        <v>3.4705442637386246E-3</v>
      </c>
      <c r="J780">
        <f t="shared" si="25"/>
        <v>0.52763904149063323</v>
      </c>
    </row>
    <row r="781" spans="1:10" x14ac:dyDescent="0.3">
      <c r="A781">
        <v>9</v>
      </c>
      <c r="B781">
        <v>1976</v>
      </c>
      <c r="C781">
        <v>0.14646085</v>
      </c>
      <c r="D781">
        <v>0.32552599906921298</v>
      </c>
      <c r="G781">
        <v>8.0047466000000012E-2</v>
      </c>
      <c r="H781">
        <f t="shared" si="24"/>
        <v>3.2064327611179465E-2</v>
      </c>
      <c r="J781">
        <f t="shared" si="25"/>
        <v>5.0041112989537888</v>
      </c>
    </row>
    <row r="782" spans="1:10" x14ac:dyDescent="0.3">
      <c r="A782">
        <v>9</v>
      </c>
      <c r="B782">
        <v>1977</v>
      </c>
      <c r="C782">
        <v>0.46538624000000001</v>
      </c>
      <c r="D782">
        <v>0.34183788299560502</v>
      </c>
      <c r="G782">
        <v>8.6063669999999981E-2</v>
      </c>
      <c r="H782">
        <f t="shared" si="24"/>
        <v>1.5264196518485434E-2</v>
      </c>
      <c r="J782">
        <f t="shared" si="25"/>
        <v>2.0607923111295627</v>
      </c>
    </row>
    <row r="783" spans="1:10" x14ac:dyDescent="0.3">
      <c r="A783">
        <v>9</v>
      </c>
      <c r="B783">
        <v>1978</v>
      </c>
      <c r="C783">
        <v>0.36755369999999998</v>
      </c>
      <c r="D783">
        <v>0.35930848121643</v>
      </c>
      <c r="G783">
        <v>7.9705179999999987E-2</v>
      </c>
      <c r="H783">
        <f t="shared" si="24"/>
        <v>6.7983632788935308E-5</v>
      </c>
      <c r="J783">
        <f t="shared" si="25"/>
        <v>1.0701170265395873E-2</v>
      </c>
    </row>
    <row r="784" spans="1:10" x14ac:dyDescent="0.3">
      <c r="A784">
        <v>9</v>
      </c>
      <c r="B784">
        <v>1979</v>
      </c>
      <c r="C784">
        <v>0.45315588000000001</v>
      </c>
      <c r="D784">
        <v>0.37784719467163003</v>
      </c>
      <c r="G784">
        <v>5.6999040000000001E-2</v>
      </c>
      <c r="H784">
        <f t="shared" si="24"/>
        <v>5.6713980858874484E-3</v>
      </c>
      <c r="J784">
        <f t="shared" si="25"/>
        <v>1.7456414673071246</v>
      </c>
    </row>
    <row r="785" spans="1:10" x14ac:dyDescent="0.3">
      <c r="A785">
        <v>9</v>
      </c>
      <c r="B785">
        <v>1980</v>
      </c>
      <c r="C785">
        <v>0.55836980000000003</v>
      </c>
      <c r="D785">
        <v>0.397350072860717</v>
      </c>
      <c r="G785">
        <v>6.6536150000000016E-2</v>
      </c>
      <c r="H785">
        <f t="shared" si="24"/>
        <v>2.5927352528009161E-2</v>
      </c>
      <c r="J785">
        <f t="shared" si="25"/>
        <v>5.8565632452406744</v>
      </c>
    </row>
    <row r="786" spans="1:10" x14ac:dyDescent="0.3">
      <c r="A786">
        <v>9</v>
      </c>
      <c r="B786">
        <v>1981</v>
      </c>
      <c r="C786">
        <v>0.61230980000000002</v>
      </c>
      <c r="D786">
        <v>0.41770815849304199</v>
      </c>
      <c r="G786">
        <v>6.1241569999999967E-2</v>
      </c>
      <c r="H786">
        <f t="shared" si="24"/>
        <v>3.7869798877202605E-2</v>
      </c>
      <c r="J786">
        <f t="shared" si="25"/>
        <v>10.097186244785325</v>
      </c>
    </row>
    <row r="787" spans="1:10" x14ac:dyDescent="0.3">
      <c r="A787">
        <v>9</v>
      </c>
      <c r="B787">
        <v>1982</v>
      </c>
      <c r="C787">
        <v>0.39656603000000001</v>
      </c>
      <c r="D787">
        <v>0.43880343437194802</v>
      </c>
      <c r="G787">
        <v>7.8753829999999969E-2</v>
      </c>
      <c r="H787">
        <f t="shared" si="24"/>
        <v>1.7839983280794525E-3</v>
      </c>
      <c r="J787">
        <f t="shared" si="25"/>
        <v>0.28764118905579128</v>
      </c>
    </row>
    <row r="788" spans="1:10" x14ac:dyDescent="0.3">
      <c r="A788">
        <v>9</v>
      </c>
      <c r="B788">
        <v>1983</v>
      </c>
      <c r="C788">
        <v>0.58610759999999995</v>
      </c>
      <c r="D788">
        <v>0.4605073928833</v>
      </c>
      <c r="G788">
        <v>7.1531040000000101E-2</v>
      </c>
      <c r="H788">
        <f t="shared" si="24"/>
        <v>1.5775412027757924E-2</v>
      </c>
      <c r="J788">
        <f t="shared" si="25"/>
        <v>3.0831285467020266</v>
      </c>
    </row>
    <row r="789" spans="1:10" x14ac:dyDescent="0.3">
      <c r="A789">
        <v>9</v>
      </c>
      <c r="B789">
        <v>1984</v>
      </c>
      <c r="C789">
        <v>0.41029125</v>
      </c>
      <c r="D789">
        <v>0.48269128799438399</v>
      </c>
      <c r="G789">
        <v>7.2906699999999991E-2</v>
      </c>
      <c r="H789">
        <f t="shared" si="24"/>
        <v>5.2417655015882456E-3</v>
      </c>
      <c r="J789">
        <f t="shared" si="25"/>
        <v>0.98614938016383646</v>
      </c>
    </row>
    <row r="790" spans="1:10" x14ac:dyDescent="0.3">
      <c r="A790">
        <v>9</v>
      </c>
      <c r="B790">
        <v>1985</v>
      </c>
      <c r="C790">
        <v>0.41202748</v>
      </c>
      <c r="D790">
        <v>0.505221366882324</v>
      </c>
      <c r="G790">
        <v>6.8132599999999988E-2</v>
      </c>
      <c r="H790">
        <f t="shared" si="24"/>
        <v>8.6851005522354009E-3</v>
      </c>
      <c r="J790">
        <f t="shared" si="25"/>
        <v>1.8709618249128286</v>
      </c>
    </row>
    <row r="791" spans="1:10" x14ac:dyDescent="0.3">
      <c r="A791">
        <v>9</v>
      </c>
      <c r="B791">
        <v>1986</v>
      </c>
      <c r="C791">
        <v>0.45798472000000001</v>
      </c>
      <c r="D791">
        <v>0.52796220779418901</v>
      </c>
      <c r="G791">
        <v>6.2557950000000029E-2</v>
      </c>
      <c r="H791">
        <f t="shared" si="24"/>
        <v>4.8968487979858697E-3</v>
      </c>
      <c r="J791">
        <f t="shared" si="25"/>
        <v>1.2512718580326296</v>
      </c>
    </row>
    <row r="792" spans="1:10" x14ac:dyDescent="0.3">
      <c r="A792">
        <v>9</v>
      </c>
      <c r="B792">
        <v>1987</v>
      </c>
      <c r="C792">
        <v>0.60532414999999995</v>
      </c>
      <c r="D792">
        <v>0.55077362060546797</v>
      </c>
      <c r="G792">
        <v>6.168169999999995E-2</v>
      </c>
      <c r="H792">
        <f t="shared" si="24"/>
        <v>2.9757602572236972E-3</v>
      </c>
      <c r="J792">
        <f t="shared" si="25"/>
        <v>0.78214139169398711</v>
      </c>
    </row>
    <row r="793" spans="1:10" x14ac:dyDescent="0.3">
      <c r="A793">
        <v>9</v>
      </c>
      <c r="B793">
        <v>1988</v>
      </c>
      <c r="C793">
        <v>0.64444950000000001</v>
      </c>
      <c r="D793">
        <v>0.57352185249328602</v>
      </c>
      <c r="G793">
        <v>7.0232859999999953E-2</v>
      </c>
      <c r="H793">
        <f t="shared" si="24"/>
        <v>5.0307311808366704E-3</v>
      </c>
      <c r="J793">
        <f t="shared" si="25"/>
        <v>1.0198831186323618</v>
      </c>
    </row>
    <row r="794" spans="1:10" x14ac:dyDescent="0.3">
      <c r="A794">
        <v>9</v>
      </c>
      <c r="B794">
        <v>1989</v>
      </c>
      <c r="C794">
        <v>0.54154809999999998</v>
      </c>
      <c r="D794">
        <v>0.59607458114624001</v>
      </c>
      <c r="G794">
        <v>6.9503699999999946E-2</v>
      </c>
      <c r="H794">
        <f t="shared" si="24"/>
        <v>2.9731371461912699E-3</v>
      </c>
      <c r="J794">
        <f t="shared" si="25"/>
        <v>0.61545895289605446</v>
      </c>
    </row>
    <row r="795" spans="1:10" x14ac:dyDescent="0.3">
      <c r="A795">
        <v>9</v>
      </c>
      <c r="B795">
        <v>1990</v>
      </c>
      <c r="C795">
        <v>0.72288010000000003</v>
      </c>
      <c r="D795">
        <v>0.61830401420593195</v>
      </c>
      <c r="G795">
        <v>7.2027339999999995E-2</v>
      </c>
      <c r="H795">
        <f t="shared" si="24"/>
        <v>1.0936157720008286E-2</v>
      </c>
      <c r="J795">
        <f t="shared" si="25"/>
        <v>2.1079971149710883</v>
      </c>
    </row>
    <row r="796" spans="1:10" x14ac:dyDescent="0.3">
      <c r="A796">
        <v>9</v>
      </c>
      <c r="B796">
        <v>1991</v>
      </c>
      <c r="C796">
        <v>0.70119430000000005</v>
      </c>
      <c r="D796">
        <v>0.64008903503417902</v>
      </c>
      <c r="G796">
        <v>6.9720759999999937E-2</v>
      </c>
      <c r="H796">
        <f t="shared" si="24"/>
        <v>3.7338534065431946E-3</v>
      </c>
      <c r="J796">
        <f t="shared" si="25"/>
        <v>0.76812701266097105</v>
      </c>
    </row>
    <row r="797" spans="1:10" x14ac:dyDescent="0.3">
      <c r="A797">
        <v>9</v>
      </c>
      <c r="B797">
        <v>1992</v>
      </c>
      <c r="C797">
        <v>0.48719456999999999</v>
      </c>
      <c r="D797">
        <v>0.66132116317749001</v>
      </c>
      <c r="G797">
        <v>6.8029430000000002E-2</v>
      </c>
      <c r="H797">
        <f t="shared" si="24"/>
        <v>3.0320070451599113E-2</v>
      </c>
      <c r="J797">
        <f t="shared" si="25"/>
        <v>6.5514365880885945</v>
      </c>
    </row>
    <row r="798" spans="1:10" x14ac:dyDescent="0.3">
      <c r="A798">
        <v>9</v>
      </c>
      <c r="B798">
        <v>1993</v>
      </c>
      <c r="C798">
        <v>0.52800493999999998</v>
      </c>
      <c r="D798">
        <v>0.68190002441406194</v>
      </c>
      <c r="G798">
        <v>7.4980899999999961E-2</v>
      </c>
      <c r="H798">
        <f t="shared" si="24"/>
        <v>2.368369700681126E-2</v>
      </c>
      <c r="J798">
        <f t="shared" si="25"/>
        <v>4.2125803578213334</v>
      </c>
    </row>
    <row r="799" spans="1:10" x14ac:dyDescent="0.3">
      <c r="A799">
        <v>9</v>
      </c>
      <c r="B799">
        <v>1994</v>
      </c>
      <c r="C799">
        <v>0.59584755</v>
      </c>
      <c r="D799">
        <v>0.70174193382263095</v>
      </c>
      <c r="G799">
        <v>7.0273669999999955E-2</v>
      </c>
      <c r="H799">
        <f t="shared" si="24"/>
        <v>1.1213620525174682E-2</v>
      </c>
      <c r="J799">
        <f t="shared" si="25"/>
        <v>2.2707043161502507</v>
      </c>
    </row>
    <row r="800" spans="1:10" x14ac:dyDescent="0.3">
      <c r="A800">
        <v>9</v>
      </c>
      <c r="B800">
        <v>1995</v>
      </c>
      <c r="C800">
        <v>0.73916389999999998</v>
      </c>
      <c r="D800">
        <v>0.72078156471252397</v>
      </c>
      <c r="G800">
        <v>6.6420759999999968E-2</v>
      </c>
      <c r="H800">
        <f t="shared" si="24"/>
        <v>3.3791025062118588E-4</v>
      </c>
      <c r="J800">
        <f t="shared" si="25"/>
        <v>7.6593812142919257E-2</v>
      </c>
    </row>
    <row r="801" spans="1:10" x14ac:dyDescent="0.3">
      <c r="A801">
        <v>9</v>
      </c>
      <c r="B801">
        <v>1996</v>
      </c>
      <c r="C801">
        <v>0.63898710000000003</v>
      </c>
      <c r="D801">
        <v>0.738971948623657</v>
      </c>
      <c r="G801">
        <v>6.7018750000000016E-2</v>
      </c>
      <c r="H801">
        <f t="shared" si="24"/>
        <v>9.9969699542956005E-3</v>
      </c>
      <c r="J801">
        <f t="shared" si="25"/>
        <v>2.2257467104469857</v>
      </c>
    </row>
    <row r="802" spans="1:10" x14ac:dyDescent="0.3">
      <c r="A802">
        <v>9</v>
      </c>
      <c r="B802">
        <v>1997</v>
      </c>
      <c r="C802">
        <v>0.78460629999999998</v>
      </c>
      <c r="D802">
        <v>0.75628709793090798</v>
      </c>
      <c r="G802">
        <v>6.4435360000000053E-2</v>
      </c>
      <c r="H802">
        <f t="shared" si="24"/>
        <v>8.0197720583006452E-4</v>
      </c>
      <c r="J802">
        <f t="shared" si="25"/>
        <v>0.19315835858743075</v>
      </c>
    </row>
    <row r="803" spans="1:10" x14ac:dyDescent="0.3">
      <c r="A803">
        <v>9</v>
      </c>
      <c r="B803">
        <v>1998</v>
      </c>
      <c r="C803">
        <v>0.93963945000000004</v>
      </c>
      <c r="D803">
        <v>0.77273130416870095</v>
      </c>
      <c r="G803">
        <v>6.8545859999999958E-2</v>
      </c>
      <c r="H803">
        <f t="shared" si="24"/>
        <v>2.7858329144842205E-2</v>
      </c>
      <c r="J803">
        <f t="shared" si="25"/>
        <v>5.9291522997187966</v>
      </c>
    </row>
    <row r="804" spans="1:10" x14ac:dyDescent="0.3">
      <c r="A804">
        <v>9</v>
      </c>
      <c r="B804">
        <v>1999</v>
      </c>
      <c r="C804">
        <v>0.68678269999999997</v>
      </c>
      <c r="D804">
        <v>0.78833317756652799</v>
      </c>
      <c r="G804">
        <v>6.3300429999999963E-2</v>
      </c>
      <c r="H804">
        <f t="shared" si="24"/>
        <v>1.0312499493989911E-2</v>
      </c>
      <c r="J804">
        <f t="shared" si="25"/>
        <v>2.5736567234911214</v>
      </c>
    </row>
    <row r="805" spans="1:10" x14ac:dyDescent="0.3">
      <c r="A805">
        <v>9</v>
      </c>
      <c r="B805">
        <v>2000</v>
      </c>
      <c r="C805">
        <v>0.69338250000000001</v>
      </c>
      <c r="D805">
        <v>0.80315566062927202</v>
      </c>
      <c r="G805">
        <v>6.5713839999999912E-2</v>
      </c>
      <c r="H805">
        <f t="shared" si="24"/>
        <v>1.2050146794539952E-2</v>
      </c>
      <c r="J805">
        <f t="shared" si="25"/>
        <v>2.7904782736017588</v>
      </c>
    </row>
    <row r="806" spans="1:10" x14ac:dyDescent="0.3">
      <c r="A806">
        <v>9</v>
      </c>
      <c r="B806">
        <v>2001</v>
      </c>
      <c r="C806">
        <v>0.8515781</v>
      </c>
      <c r="D806">
        <v>0.81729888916015603</v>
      </c>
      <c r="G806">
        <v>6.2424050000000064E-2</v>
      </c>
      <c r="H806">
        <f t="shared" si="24"/>
        <v>1.1750642958024769E-3</v>
      </c>
      <c r="J806">
        <f t="shared" si="25"/>
        <v>0.30154889886865577</v>
      </c>
    </row>
    <row r="807" spans="1:10" x14ac:dyDescent="0.3">
      <c r="A807">
        <v>9</v>
      </c>
      <c r="B807">
        <v>2002</v>
      </c>
      <c r="C807">
        <v>0.90576429999999997</v>
      </c>
      <c r="D807">
        <v>0.83089709281921298</v>
      </c>
      <c r="G807">
        <v>6.136929999999996E-2</v>
      </c>
      <c r="H807">
        <f t="shared" si="24"/>
        <v>5.6050987110508824E-3</v>
      </c>
      <c r="J807">
        <f t="shared" si="25"/>
        <v>1.4882672538674881</v>
      </c>
    </row>
    <row r="808" spans="1:10" x14ac:dyDescent="0.3">
      <c r="A808">
        <v>9</v>
      </c>
      <c r="B808">
        <v>2003</v>
      </c>
      <c r="C808">
        <v>0.90646789999999999</v>
      </c>
      <c r="D808">
        <v>0.84413361549377397</v>
      </c>
      <c r="G808">
        <v>6.5855100000000055E-2</v>
      </c>
      <c r="H808">
        <f t="shared" si="24"/>
        <v>3.8855630249031298E-3</v>
      </c>
      <c r="J808">
        <f t="shared" si="25"/>
        <v>0.89593216926479147</v>
      </c>
    </row>
    <row r="809" spans="1:10" x14ac:dyDescent="0.3">
      <c r="A809">
        <v>9</v>
      </c>
      <c r="B809">
        <v>2004</v>
      </c>
      <c r="C809">
        <v>0.82966846000000005</v>
      </c>
      <c r="D809">
        <v>0.85723280906677202</v>
      </c>
      <c r="G809">
        <v>6.6064800000000035E-2</v>
      </c>
      <c r="H809">
        <f t="shared" si="24"/>
        <v>7.5979333947485245E-4</v>
      </c>
      <c r="J809">
        <f t="shared" si="25"/>
        <v>0.17408254729539172</v>
      </c>
    </row>
    <row r="810" spans="1:10" x14ac:dyDescent="0.3">
      <c r="A810">
        <v>9</v>
      </c>
      <c r="B810">
        <v>2005</v>
      </c>
      <c r="C810">
        <v>0.96916026</v>
      </c>
      <c r="D810">
        <v>0.87047052383422796</v>
      </c>
      <c r="G810">
        <v>6.2314439999999971E-2</v>
      </c>
      <c r="H810">
        <f t="shared" si="24"/>
        <v>9.7396640244696922E-3</v>
      </c>
      <c r="J810">
        <f t="shared" si="25"/>
        <v>2.5082255234500295</v>
      </c>
    </row>
    <row r="811" spans="1:10" x14ac:dyDescent="0.3">
      <c r="A811">
        <v>9</v>
      </c>
      <c r="B811">
        <v>2006</v>
      </c>
      <c r="C811">
        <v>0.93485045</v>
      </c>
      <c r="D811">
        <v>0.884180307388305</v>
      </c>
      <c r="G811">
        <v>6.1159370000000046E-2</v>
      </c>
      <c r="H811">
        <f t="shared" si="24"/>
        <v>2.5674633522895095E-3</v>
      </c>
      <c r="J811">
        <f t="shared" si="25"/>
        <v>0.68640153650786095</v>
      </c>
    </row>
    <row r="812" spans="1:10" x14ac:dyDescent="0.3">
      <c r="A812">
        <v>9</v>
      </c>
      <c r="B812">
        <v>2007</v>
      </c>
      <c r="C812">
        <v>0.95399909999999999</v>
      </c>
      <c r="D812">
        <v>0.898748159408569</v>
      </c>
      <c r="G812">
        <v>6.0696299999999925E-2</v>
      </c>
      <c r="H812">
        <f t="shared" si="24"/>
        <v>3.0526664362378361E-3</v>
      </c>
      <c r="J812">
        <f t="shared" si="25"/>
        <v>0.82861905555488624</v>
      </c>
    </row>
    <row r="813" spans="1:10" x14ac:dyDescent="0.3">
      <c r="A813">
        <v>9</v>
      </c>
      <c r="B813">
        <v>2008</v>
      </c>
      <c r="C813">
        <v>0.82794760000000001</v>
      </c>
      <c r="D813">
        <v>0.91462683677673295</v>
      </c>
      <c r="G813">
        <v>6.598499999999996E-2</v>
      </c>
      <c r="H813">
        <f t="shared" si="24"/>
        <v>7.5132900881969339E-3</v>
      </c>
      <c r="J813">
        <f t="shared" si="25"/>
        <v>1.7255983435853111</v>
      </c>
    </row>
    <row r="814" spans="1:10" x14ac:dyDescent="0.3">
      <c r="A814">
        <v>9</v>
      </c>
      <c r="B814">
        <v>2009</v>
      </c>
      <c r="C814">
        <v>0.95907940000000003</v>
      </c>
      <c r="D814">
        <v>0.93233561515808105</v>
      </c>
      <c r="G814">
        <v>6.3052039999999976E-2</v>
      </c>
      <c r="H814">
        <f t="shared" si="24"/>
        <v>7.1523002767085494E-4</v>
      </c>
      <c r="J814">
        <f t="shared" si="25"/>
        <v>0.17990674847776997</v>
      </c>
    </row>
    <row r="815" spans="1:10" x14ac:dyDescent="0.3">
      <c r="A815">
        <v>9</v>
      </c>
      <c r="B815">
        <v>2010</v>
      </c>
      <c r="C815">
        <v>1.0426692</v>
      </c>
      <c r="D815">
        <v>0.95246434211730902</v>
      </c>
      <c r="G815">
        <v>6.2591000000000063E-2</v>
      </c>
      <c r="H815">
        <f t="shared" si="24"/>
        <v>8.1369163856364717E-3</v>
      </c>
      <c r="J815">
        <f t="shared" si="25"/>
        <v>2.0769979735212623</v>
      </c>
    </row>
    <row r="816" spans="1:10" x14ac:dyDescent="0.3">
      <c r="A816">
        <v>9</v>
      </c>
      <c r="B816">
        <v>2011</v>
      </c>
      <c r="C816">
        <v>0.89999549999999995</v>
      </c>
      <c r="D816">
        <v>0.97567939758300704</v>
      </c>
      <c r="G816">
        <v>6.339311000000003E-2</v>
      </c>
      <c r="H816">
        <f t="shared" si="24"/>
        <v>5.7280523533551056E-3</v>
      </c>
      <c r="J816">
        <f t="shared" si="25"/>
        <v>1.4253544043170332</v>
      </c>
    </row>
    <row r="817" spans="1:10" x14ac:dyDescent="0.3">
      <c r="A817">
        <v>9</v>
      </c>
      <c r="B817">
        <v>2012</v>
      </c>
      <c r="C817">
        <v>0.93990479999999998</v>
      </c>
      <c r="D817">
        <v>1.00272917747497</v>
      </c>
      <c r="G817">
        <v>6.5503599999999995E-2</v>
      </c>
      <c r="H817">
        <f t="shared" si="24"/>
        <v>3.9469024051175241E-3</v>
      </c>
      <c r="J817">
        <f t="shared" si="25"/>
        <v>0.91986914117103769</v>
      </c>
    </row>
    <row r="818" spans="1:10" x14ac:dyDescent="0.3">
      <c r="A818">
        <v>9</v>
      </c>
      <c r="B818">
        <v>2013</v>
      </c>
      <c r="C818">
        <v>0.98587309999999995</v>
      </c>
      <c r="D818">
        <v>1.03444600105285</v>
      </c>
      <c r="G818">
        <v>7.0183000000000106E-2</v>
      </c>
      <c r="H818">
        <f t="shared" si="24"/>
        <v>2.3593267166899623E-3</v>
      </c>
      <c r="J818">
        <f t="shared" si="25"/>
        <v>0.47898755402888532</v>
      </c>
    </row>
    <row r="819" spans="1:10" x14ac:dyDescent="0.3">
      <c r="A819">
        <v>9</v>
      </c>
      <c r="B819">
        <v>2014</v>
      </c>
      <c r="C819">
        <v>1.0351694</v>
      </c>
      <c r="D819">
        <v>1.0717527866363501</v>
      </c>
      <c r="G819">
        <v>6.7933499999999869E-2</v>
      </c>
      <c r="H819">
        <f t="shared" si="24"/>
        <v>1.3383441777846776E-3</v>
      </c>
      <c r="J819">
        <f t="shared" si="25"/>
        <v>0.29000122543460083</v>
      </c>
    </row>
    <row r="820" spans="1:10" x14ac:dyDescent="0.3">
      <c r="A820">
        <v>9</v>
      </c>
      <c r="B820">
        <v>2015</v>
      </c>
      <c r="C820">
        <v>1.1874121</v>
      </c>
      <c r="D820">
        <v>1.1156702041625901</v>
      </c>
      <c r="G820">
        <v>6.7654600000000009E-2</v>
      </c>
      <c r="H820">
        <f t="shared" si="24"/>
        <v>5.1468996183457669E-3</v>
      </c>
      <c r="J820">
        <f t="shared" si="25"/>
        <v>1.1244781909878734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all_poly_fits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Ashraful Islam</dc:creator>
  <cp:lastModifiedBy>Muhammad Ashraful Islam</cp:lastModifiedBy>
  <dcterms:created xsi:type="dcterms:W3CDTF">2025-11-17T20:20:40Z</dcterms:created>
  <dcterms:modified xsi:type="dcterms:W3CDTF">2025-11-20T11:37:49Z</dcterms:modified>
</cp:coreProperties>
</file>